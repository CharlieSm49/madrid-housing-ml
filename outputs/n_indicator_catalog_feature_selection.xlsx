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Pivot Table 1" sheetId="2" r:id="rId6"/>
  </sheets>
  <definedNames/>
  <calcPr/>
  <pivotCaches>
    <pivotCache cacheId="0" r:id="rId7"/>
  </pivotCache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30">
      <text>
        <t xml:space="preserve">used to calculate %</t>
      </text>
    </comment>
    <comment authorId="0" ref="G61">
      <text>
        <t xml:space="preserve">to calculate %</t>
      </text>
    </comment>
    <comment authorId="0" ref="G9">
      <text>
        <t xml:space="preserve">combine together with higher education and diploma and make it a percentage out of total population of 25+ </t>
      </text>
    </comment>
  </commentList>
</comments>
</file>

<file path=xl/sharedStrings.xml><?xml version="1.0" encoding="utf-8"?>
<sst xmlns="http://schemas.openxmlformats.org/spreadsheetml/2006/main" count="804" uniqueCount="330">
  <si>
    <t>main_category</t>
  </si>
  <si>
    <t>subcategory</t>
  </si>
  <si>
    <t>indicator_name</t>
  </si>
  <si>
    <t>unit</t>
  </si>
  <si>
    <t>indicator_name_in_ english</t>
  </si>
  <si>
    <t>Factor No</t>
  </si>
  <si>
    <t>COUNTA of unit</t>
  </si>
  <si>
    <t>Factor Name</t>
  </si>
  <si>
    <t>Características Generales del Distrito-Barrio</t>
  </si>
  <si>
    <t>Población densidad (hab./ha.)</t>
  </si>
  <si>
    <t>Superficie (ha.)</t>
  </si>
  <si>
    <t xml:space="preserve"> Total</t>
  </si>
  <si>
    <t>Características Generales del Distrito-Barrio Total</t>
  </si>
  <si>
    <t>Educación</t>
  </si>
  <si>
    <t>Nivel de estudios de la población</t>
  </si>
  <si>
    <t>Población mayor/igual de 25 años con bachiller elemental, graduado escolar, ESO, formación profesional 1º grado</t>
  </si>
  <si>
    <t>Habitantes/Ha.</t>
  </si>
  <si>
    <t>Población mayor/igual de 25 años con enseñanza primaria incompleta</t>
  </si>
  <si>
    <t>Population density (inhabitants per hectare)</t>
  </si>
  <si>
    <t>Población mayor/igual de 25 años con estudios superiores, licenciatura, arquitectura, ingeniería sup., estudios sup. no universitarios, doctorado, postgraduado</t>
  </si>
  <si>
    <t>Población mayor/igual de 25 años con formación profesional 2º grado, bachiller superior o BUP</t>
  </si>
  <si>
    <t>Población mayor/igual de 25 años con nivel de estudios desconocido y/o no consta</t>
  </si>
  <si>
    <t>x</t>
  </si>
  <si>
    <t>Población mayor/igual de 25 años con titulación media, diplomatura, arquitectura o ingeniería técnica</t>
  </si>
  <si>
    <t>Población mayor/igual de 25 años que no sabe leer ni escribir o sin estudios</t>
  </si>
  <si>
    <t>Nivel de estudios de la población Total</t>
  </si>
  <si>
    <t>Población en etapas educativas</t>
  </si>
  <si>
    <t>Etapas educativas. total niñas</t>
  </si>
  <si>
    <t>Etapas educativas. total niños</t>
  </si>
  <si>
    <t>Población en etapa educativa de 0 a 2 años</t>
  </si>
  <si>
    <t>Población en etapa educativa de 12 a 15 años</t>
  </si>
  <si>
    <t>Ha</t>
  </si>
  <si>
    <t>Población en etapa educativa de 3 a 5 años</t>
  </si>
  <si>
    <t>Area (hectares)</t>
  </si>
  <si>
    <t>Población en etapa educativa de 6 a 11 años</t>
  </si>
  <si>
    <t>Percentage of population aged 25+ with higher education (university degree, postgraduate or doctorate) or aged 25+ with diploma or technical degree</t>
  </si>
  <si>
    <t>Población infantil femenina en etapa educativa de 0 a 2 años</t>
  </si>
  <si>
    <t>Población infantil femenina en etapa educativa de 12 a 15 años</t>
  </si>
  <si>
    <t>Población infantil femenina en etapa educativa de 3 a 5 años</t>
  </si>
  <si>
    <t>Población infantil femenina en etapa educativa de 6 a 11 años</t>
  </si>
  <si>
    <t>Población infantil masculina en etapa educativa de 0 a 2 años</t>
  </si>
  <si>
    <t>Población infantil masculina en etapa educativa de 12 a 15 años</t>
  </si>
  <si>
    <t>Personas</t>
  </si>
  <si>
    <t>Población infantil masculina en etapa educativa de 3 a 5 años</t>
  </si>
  <si>
    <t>Population aged 25+ with lower secondary education or equivalent</t>
  </si>
  <si>
    <t>Población infantil masculina en etapa educativa de 6 a 11 años</t>
  </si>
  <si>
    <t>Población en etapas educativas Total</t>
  </si>
  <si>
    <t>Educación Total</t>
  </si>
  <si>
    <t>% registered housing over total registered premises</t>
  </si>
  <si>
    <t>Empresa y comercio</t>
  </si>
  <si>
    <t>Locales abiertos</t>
  </si>
  <si>
    <t>Número de locales dados de alta abiertos</t>
  </si>
  <si>
    <t>Locales abiertos Total</t>
  </si>
  <si>
    <t>Locales cerrados</t>
  </si>
  <si>
    <t>Número de locales dados de alta cerrados</t>
  </si>
  <si>
    <t>Locales cerrados Total</t>
  </si>
  <si>
    <t>Locales en uso como vivienda</t>
  </si>
  <si>
    <t>Número de locales dados de alta en uso como vivienda</t>
  </si>
  <si>
    <t>Locales en uso como vivienda Total</t>
  </si>
  <si>
    <t>Recursos municipales</t>
  </si>
  <si>
    <t>Mercados municipales</t>
  </si>
  <si>
    <t>Population aged 25+ with incomplete primary education</t>
  </si>
  <si>
    <t>Recursos municipales Total</t>
  </si>
  <si>
    <t>Total locales</t>
  </si>
  <si>
    <t>Número de locales dados de alta totales</t>
  </si>
  <si>
    <t>Average disposable income per person</t>
  </si>
  <si>
    <t>Total locales Total</t>
  </si>
  <si>
    <t>Empresa y comercio Total</t>
  </si>
  <si>
    <t>Indicadores Económicos</t>
  </si>
  <si>
    <t>Indicadores económicos</t>
  </si>
  <si>
    <t>Pensión media mensual hombres</t>
  </si>
  <si>
    <t>Pensión media mensual mujeres</t>
  </si>
  <si>
    <t>Renta media disponible por persona</t>
  </si>
  <si>
    <t>Population aged 25+ with higher education (university degree, postgraduate or doctorate)</t>
  </si>
  <si>
    <t>Renta neta media anual de los hogares (Urban Audit)</t>
  </si>
  <si>
    <t>Indicadores económicos Total</t>
  </si>
  <si>
    <t>Average annual net household income (Urban Audit)</t>
  </si>
  <si>
    <t>Indicadores Económicos Total</t>
  </si>
  <si>
    <t>Indicadores Población desempleo</t>
  </si>
  <si>
    <t>Población desempleo</t>
  </si>
  <si>
    <t>Paro registrado (número de personas registradas en SEPE en febrero)</t>
  </si>
  <si>
    <t>Paro registrado (número de personas registradas en SEPE en febrero) hombres</t>
  </si>
  <si>
    <t>Paro registrado (número de personas registradas en SEPE en febrero) mujeres</t>
  </si>
  <si>
    <t>Tasa absoluta de paro registrado (febrero)</t>
  </si>
  <si>
    <t>Tasa absoluta de paro registrado hombres</t>
  </si>
  <si>
    <t>Population aged 25+ with upper secondary education or advanced vocational qualifications</t>
  </si>
  <si>
    <t>Tasa absoluta de paro registrado mujeres</t>
  </si>
  <si>
    <t>Tasa de desempleo en hombres de 16 a 24 años</t>
  </si>
  <si>
    <t>Registered unemployment rate (February)</t>
  </si>
  <si>
    <t>Tasa de desempleo en hombres de 25 a 44 años</t>
  </si>
  <si>
    <t>Tasa de desempleo en hombres de 45 a 64 años</t>
  </si>
  <si>
    <t>Tasa de desempleo en mujeres de 16 a 24 años</t>
  </si>
  <si>
    <t>Tasa de desempleo en mujeres de 25 a 44 años</t>
  </si>
  <si>
    <t>Tasa de desempleo en mujeres de 45 a 64 años</t>
  </si>
  <si>
    <t>Población desempleo Total</t>
  </si>
  <si>
    <t>Indicadores Población desempleo Total</t>
  </si>
  <si>
    <t>Population aged 25+ with unknown educational attainment</t>
  </si>
  <si>
    <t>Índice de vulnerabilidad</t>
  </si>
  <si>
    <t>Territorial</t>
  </si>
  <si>
    <t>Índice de vulnerabilidad bienestar social e igualdad</t>
  </si>
  <si>
    <t>Índice de vulnerabilidad economía y empleo</t>
  </si>
  <si>
    <t>Índice de vulnerabilidad educación y cultura</t>
  </si>
  <si>
    <t>Population growth rate (%)</t>
  </si>
  <si>
    <t>Índice de vulnerabilidad medio ambiente urbano y movilidad</t>
  </si>
  <si>
    <t>Índice de vulnerabilidad salud</t>
  </si>
  <si>
    <t>Territorial Total</t>
  </si>
  <si>
    <t>Índice de vulnerabilidad Total</t>
  </si>
  <si>
    <t>Participación ciudadana</t>
  </si>
  <si>
    <t>Entidades de participación ciudadana</t>
  </si>
  <si>
    <t>Asociaciones (sección 1ª)</t>
  </si>
  <si>
    <t>Population aged 25+ with diploma or technical degree</t>
  </si>
  <si>
    <t>Asociaciones culturales y casas regionales</t>
  </si>
  <si>
    <t>Asociaciones de mujeres</t>
  </si>
  <si>
    <t>y</t>
  </si>
  <si>
    <t>Asociaciones vecinales</t>
  </si>
  <si>
    <t>Average household size</t>
  </si>
  <si>
    <t>Fundaciones (sección 2ª)</t>
  </si>
  <si>
    <t>Entidades de participación ciudadana Total</t>
  </si>
  <si>
    <t>Participación ciudadana Total</t>
  </si>
  <si>
    <t>Población del distrito</t>
  </si>
  <si>
    <t>Dinámica demográfica</t>
  </si>
  <si>
    <t>Tasa bruta de natalidad (‰)</t>
  </si>
  <si>
    <t>Tasa de crecimiento demográfico (porcentaje)</t>
  </si>
  <si>
    <t>Dinámica demográfica Total</t>
  </si>
  <si>
    <t>Population aged 25+ who are illiterate or have no formal education</t>
  </si>
  <si>
    <t>Estructura de los hogares</t>
  </si>
  <si>
    <t>Hogares con un hombre solo mayor de 65 años</t>
  </si>
  <si>
    <t>Hogares con una mujer sola mayor de 65 años</t>
  </si>
  <si>
    <t>Average age</t>
  </si>
  <si>
    <t>Hogares monoparentales: un hombre adulto con uno o más menores</t>
  </si>
  <si>
    <t>Hogares monoparentales: una mujer adulta con uno o más menores</t>
  </si>
  <si>
    <t>Tamaño medio del hogar</t>
  </si>
  <si>
    <t>Total hogares</t>
  </si>
  <si>
    <t>Estructura de los hogares Total</t>
  </si>
  <si>
    <t>Estructura de población</t>
  </si>
  <si>
    <t>Edad media de la población</t>
  </si>
  <si>
    <t>Total girls in education</t>
  </si>
  <si>
    <t>Índice de dependencia (población de 0-15 + población 65 años y más / pob. 16-64)</t>
  </si>
  <si>
    <t>Número habitantes</t>
  </si>
  <si>
    <t>Ageing index (% aged 65+)</t>
  </si>
  <si>
    <t>Personas con nacionalidad española</t>
  </si>
  <si>
    <t>Personas con nacionalidad española hombres</t>
  </si>
  <si>
    <t>Personas con nacionalidad española mujeres</t>
  </si>
  <si>
    <t>Personas con nacionalidad extranjera</t>
  </si>
  <si>
    <t>Personas con nacionalidad extranjera hombres</t>
  </si>
  <si>
    <t>Personas con nacionalidad extranjera mujeres</t>
  </si>
  <si>
    <t>Población de 0 a 14 años</t>
  </si>
  <si>
    <t>Total boys in education</t>
  </si>
  <si>
    <t>Población de 15 a 29 años</t>
  </si>
  <si>
    <t>Población de 30 a 44 años</t>
  </si>
  <si>
    <t>Social welfare and equality vulnerability index</t>
  </si>
  <si>
    <t>Población de 45 a 64 años</t>
  </si>
  <si>
    <t>Población de 65 a 79 años</t>
  </si>
  <si>
    <t>Población de 65 años y más</t>
  </si>
  <si>
    <t>Población de 80 años y más</t>
  </si>
  <si>
    <t>Población en etapa educativa (población de 0 a 16 años -16 no incluidos)</t>
  </si>
  <si>
    <t>Población hombres</t>
  </si>
  <si>
    <t>Población mujeres</t>
  </si>
  <si>
    <t>Population aged 0–2 in education</t>
  </si>
  <si>
    <t>Porcentaje de envejecimiento (población mayor de 65 años/población total)</t>
  </si>
  <si>
    <t>Porcentaje de sobre-envejecimiento (población mayor de 80 años/ población mayor de 65 años)</t>
  </si>
  <si>
    <t>Primera y segunda nacionalidad extranjera en el Distrito: ITALIA</t>
  </si>
  <si>
    <t>Economic and employment vulnerability index</t>
  </si>
  <si>
    <t>Primera y segunda nacionalidad extranjera en el distrito: VENEZUELA</t>
  </si>
  <si>
    <t>Proporción de personas migrantes (personas extranjeras menos UE y resto países de OCDE / población total)</t>
  </si>
  <si>
    <t>Estructura de población Total</t>
  </si>
  <si>
    <t>Población del distrito Total</t>
  </si>
  <si>
    <t>Resultados Elecciones Locales</t>
  </si>
  <si>
    <t>Population aged 12–15 in education</t>
  </si>
  <si>
    <t>Elecciones municipales, abstenciones</t>
  </si>
  <si>
    <t>Elecciones municipales, censo electoral</t>
  </si>
  <si>
    <t>Education and culture vulnerability index</t>
  </si>
  <si>
    <t>Elecciones municipales, votos a candidaturas</t>
  </si>
  <si>
    <t>Elecciones municipales, votos a Ciudadanos-Partido de la Ciudadanía</t>
  </si>
  <si>
    <t>Elecciones municipales, votos a Más Madrid-Verdes Equo</t>
  </si>
  <si>
    <t>Elecciones municipales, votos a Podemos-Izquierda Unida-Alianza Verde</t>
  </si>
  <si>
    <t>Elecciones municipales, votos a VOX</t>
  </si>
  <si>
    <t>Elecciones municipales, votos al Partido Popular</t>
  </si>
  <si>
    <t>Elecciones municipales, votos al Partido Socialista Obrero Español</t>
  </si>
  <si>
    <t>Population aged 3–5 in education</t>
  </si>
  <si>
    <t>Elecciones municipales, votos en blanco</t>
  </si>
  <si>
    <t>Urban environment and mobility vulnerability index</t>
  </si>
  <si>
    <t>Resultados Elecciones Locales Total</t>
  </si>
  <si>
    <t>Servicios y equipamientos Municipales</t>
  </si>
  <si>
    <t>Cultura</t>
  </si>
  <si>
    <t>Bibliotecas municipales</t>
  </si>
  <si>
    <t>Centros y espacios culturales</t>
  </si>
  <si>
    <t>Cultura Total</t>
  </si>
  <si>
    <t>Deportes</t>
  </si>
  <si>
    <t>Centros deportivos municipales</t>
  </si>
  <si>
    <t>Instalaciones deportivas básicas</t>
  </si>
  <si>
    <t>Population aged 6–11 in education</t>
  </si>
  <si>
    <t>Piscinas cubiertas</t>
  </si>
  <si>
    <t>Health vulnerability index</t>
  </si>
  <si>
    <t>Pista de atletismo</t>
  </si>
  <si>
    <t>Deportes Total</t>
  </si>
  <si>
    <t>Colegios públicos infantil y primaria</t>
  </si>
  <si>
    <t>Escuelas infantiles municipales</t>
  </si>
  <si>
    <t>Servicios Sociales Municipales</t>
  </si>
  <si>
    <t>Apartamentos municipales para mayores</t>
  </si>
  <si>
    <t>Population in education</t>
  </si>
  <si>
    <t>Centro de día de atención a niños y niñas (de 3 a 12 años)</t>
  </si>
  <si>
    <t>Centros de apoyo a las familias (CAF)</t>
  </si>
  <si>
    <t>Centros de atención a la infancia (CAI)</t>
  </si>
  <si>
    <t>Centros de servicios sociales</t>
  </si>
  <si>
    <t>Centros municipales de mayores</t>
  </si>
  <si>
    <t>Centros para personas sin hogar</t>
  </si>
  <si>
    <t>Girls aged 0–2 in education</t>
  </si>
  <si>
    <t>Residencias para personas mayores</t>
  </si>
  <si>
    <t>Servicios Sociales Municipales Total</t>
  </si>
  <si>
    <r>
      <rPr>
        <rFont val="Calibri"/>
        <b/>
        <color theme="1"/>
        <sz val="17.0"/>
      </rPr>
      <t>Observations:</t>
    </r>
    <r>
      <rPr>
        <rFont val="Calibri"/>
        <b val="0"/>
        <color theme="1"/>
        <sz val="17.0"/>
      </rPr>
      <t xml:space="preserve"> After exporting the indicator names for a randomly selected neighbourhood (Palacio), 15 socioeconomic indicators were selected as features for the model. English translations of the selected indicators are provided above.</t>
    </r>
  </si>
  <si>
    <t>Servicios y equipamientos Municipales Total</t>
  </si>
  <si>
    <t>Vivienda</t>
  </si>
  <si>
    <t>Año medio de construcción de inmuebles de uso residencial</t>
  </si>
  <si>
    <t>Duración media del crédito (meses) en transacción de vivienda</t>
  </si>
  <si>
    <t>Número de inmuebles de uso residencial</t>
  </si>
  <si>
    <t>Superficie media construida (m2) inmuebles de uso residencial</t>
  </si>
  <si>
    <t>Superficie media de la vivienda (m2) en transacción</t>
  </si>
  <si>
    <t>Valor catastral medio por inmueble de uso residencial</t>
  </si>
  <si>
    <t>Vivienda Total</t>
  </si>
  <si>
    <t>Girls aged 12–15 in education</t>
  </si>
  <si>
    <t>Grand Total</t>
  </si>
  <si>
    <t>Girls aged 3–5 in education</t>
  </si>
  <si>
    <t>Girls aged 6–11 in education</t>
  </si>
  <si>
    <t>Boys aged 0–2 in education</t>
  </si>
  <si>
    <t>Boys aged 12–15 in education</t>
  </si>
  <si>
    <t>Boys aged 3–5 in education</t>
  </si>
  <si>
    <t>Boys aged 6–11 in education</t>
  </si>
  <si>
    <t>Número</t>
  </si>
  <si>
    <t>Number of registered business premises (open)</t>
  </si>
  <si>
    <t>Number of registered business premises (closed)</t>
  </si>
  <si>
    <t>Number of registered premises used as housing</t>
  </si>
  <si>
    <t>Equipamientos</t>
  </si>
  <si>
    <t>Municipal markets</t>
  </si>
  <si>
    <t>Total registered premises</t>
  </si>
  <si>
    <t>z</t>
  </si>
  <si>
    <t>Euros</t>
  </si>
  <si>
    <t>Average monthly pension (men)</t>
  </si>
  <si>
    <t>Average monthly pension (women)</t>
  </si>
  <si>
    <t>Renta</t>
  </si>
  <si>
    <t>Registered unemployment (people registered with SEPE in February)</t>
  </si>
  <si>
    <t>Registered unemployment (men)</t>
  </si>
  <si>
    <t>Registered unemployment (women)</t>
  </si>
  <si>
    <t>Tasa</t>
  </si>
  <si>
    <t>Registered unemployment rate (men)</t>
  </si>
  <si>
    <t>Registered unemployment rate (women)</t>
  </si>
  <si>
    <t>Unemployment rate for men aged 16–24</t>
  </si>
  <si>
    <t>Unemployment rate for men aged 25–44</t>
  </si>
  <si>
    <t>Unemployment rate for men aged 45–64</t>
  </si>
  <si>
    <t>Unemployment rate for women aged 16–24</t>
  </si>
  <si>
    <t>Unemployment rate for women aged 25–44</t>
  </si>
  <si>
    <t>Unemployment rate for women aged 45–64</t>
  </si>
  <si>
    <t>Entidades</t>
  </si>
  <si>
    <t>Associations</t>
  </si>
  <si>
    <t>Cultural associations and regional societies</t>
  </si>
  <si>
    <t>Women's associations</t>
  </si>
  <si>
    <t>Neighbourhood associations</t>
  </si>
  <si>
    <t>Foundations</t>
  </si>
  <si>
    <t>Crude birth rate (per 1,000 people)</t>
  </si>
  <si>
    <t>Hogares</t>
  </si>
  <si>
    <t>Households with a single man aged 65+</t>
  </si>
  <si>
    <t>Households with a single woman aged 65+</t>
  </si>
  <si>
    <t>Single-father households</t>
  </si>
  <si>
    <t>Single-mother households</t>
  </si>
  <si>
    <t>Media</t>
  </si>
  <si>
    <t>Total households</t>
  </si>
  <si>
    <t>Edad</t>
  </si>
  <si>
    <t>Habitantes</t>
  </si>
  <si>
    <t>Population</t>
  </si>
  <si>
    <t>People with Spanish nationality</t>
  </si>
  <si>
    <t>Men with Spanish nationality</t>
  </si>
  <si>
    <t>Women with Spanish nationality</t>
  </si>
  <si>
    <t>People with foreign nationality</t>
  </si>
  <si>
    <t>Men with foreign nationality</t>
  </si>
  <si>
    <t>Women with foreign nationality</t>
  </si>
  <si>
    <t>Population aged 0–14</t>
  </si>
  <si>
    <t>Population aged 15–29</t>
  </si>
  <si>
    <t>Population aged 30–44</t>
  </si>
  <si>
    <t>Population aged 45–64</t>
  </si>
  <si>
    <t>Population aged 65–79</t>
  </si>
  <si>
    <t>Population aged 65+</t>
  </si>
  <si>
    <t>Population aged 80+</t>
  </si>
  <si>
    <t>Population aged 0–16 (education stage)</t>
  </si>
  <si>
    <t>Male population</t>
  </si>
  <si>
    <t>Female population</t>
  </si>
  <si>
    <t>Proporción</t>
  </si>
  <si>
    <t>Advanced ageing index (% aged 80+ among those aged 65+)</t>
  </si>
  <si>
    <t>Top foreign nationality: Italy</t>
  </si>
  <si>
    <t>Top foreign nationality: Venezuela</t>
  </si>
  <si>
    <t>Proportion of migrants</t>
  </si>
  <si>
    <t>Índice</t>
  </si>
  <si>
    <t>Dependency ratio</t>
  </si>
  <si>
    <t>Votos</t>
  </si>
  <si>
    <t>Municipal election abstentions</t>
  </si>
  <si>
    <t>Electoral register</t>
  </si>
  <si>
    <t>Votes for Ciudadanos</t>
  </si>
  <si>
    <t>Votes for Más Madrid–Verdes Equo</t>
  </si>
  <si>
    <t>Votes for Podemos–Izquierda Unida–Alianza Verde</t>
  </si>
  <si>
    <t>Votes for VOX</t>
  </si>
  <si>
    <t>Total valid votes for parties</t>
  </si>
  <si>
    <t>Votes for the People's Party (PP)</t>
  </si>
  <si>
    <t>Votes for PSOE</t>
  </si>
  <si>
    <t>Blank votes</t>
  </si>
  <si>
    <t>Municipal libraries</t>
  </si>
  <si>
    <t>Cultural centres and venues</t>
  </si>
  <si>
    <t>Municipal sports centres</t>
  </si>
  <si>
    <t>Basic sports facilities</t>
  </si>
  <si>
    <t>Indoor swimming pools</t>
  </si>
  <si>
    <t>Athletics track</t>
  </si>
  <si>
    <t>Public nursery and primary schools</t>
  </si>
  <si>
    <t>Municipal nurseries</t>
  </si>
  <si>
    <t>Municipal apartments for older people</t>
  </si>
  <si>
    <t>Children's day care centres (ages 3–12)</t>
  </si>
  <si>
    <t>Family support centres (CAF)</t>
  </si>
  <si>
    <t>Childcare centres (CAI)</t>
  </si>
  <si>
    <t>Social services centres</t>
  </si>
  <si>
    <t>Municipal senior centres</t>
  </si>
  <si>
    <t>Homeless support centres</t>
  </si>
  <si>
    <t>Care homes for older people</t>
  </si>
  <si>
    <t>Año</t>
  </si>
  <si>
    <t>Average construction year of residential properties</t>
  </si>
  <si>
    <t>Tiempo (meses)</t>
  </si>
  <si>
    <t>Average mortgage duration (months)</t>
  </si>
  <si>
    <t>Number of residential properties</t>
  </si>
  <si>
    <t>m2</t>
  </si>
  <si>
    <t>Average built floor area of residential properties (m²)</t>
  </si>
  <si>
    <t>Average dwelling size in property transactions (m²)</t>
  </si>
  <si>
    <t>Valor</t>
  </si>
  <si>
    <t>Average cadastral value per residential property</t>
  </si>
  <si>
    <t>This wll be dropped similar to the dependent variable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</si>
</sst>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"/>
  </numFmts>
  <fonts count="5">
    <font>
      <sz val="11.0"/>
      <color theme="1"/>
      <name val="Calibri"/>
      <scheme val="minor"/>
    </font>
    <font>
      <b/>
      <color theme="1"/>
      <name val="Calibri"/>
    </font>
    <font>
      <color theme="1"/>
      <name val="Calibri"/>
      <scheme val="minor"/>
    </font>
    <font>
      <color theme="1"/>
      <name val="Calibri"/>
    </font>
    <font>
      <b/>
      <sz val="17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6F8F9"/>
        <bgColor rgb="FFF6F8F9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  <fill>
      <patternFill patternType="solid">
        <fgColor rgb="FFEA9999"/>
        <bgColor rgb="FFEA999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top" wrapText="0"/>
    </xf>
    <xf borderId="0" fillId="0" fontId="1" numFmtId="0" xfId="0" applyAlignment="1" applyFont="1">
      <alignment horizontal="center" readingOrder="0" shrinkToFit="0" vertical="center" wrapText="0"/>
    </xf>
    <xf borderId="0" fillId="0" fontId="2" numFmtId="0" xfId="0" applyFont="1"/>
    <xf borderId="1" fillId="0" fontId="3" numFmtId="0" xfId="0" applyBorder="1" applyFont="1"/>
    <xf borderId="0" fillId="2" fontId="3" numFmtId="0" xfId="0" applyAlignment="1" applyFill="1" applyFont="1">
      <alignment shrinkToFit="0" vertical="center" wrapText="0"/>
    </xf>
    <xf borderId="0" fillId="3" fontId="3" numFmtId="164" xfId="0" applyAlignment="1" applyFill="1" applyFont="1" applyNumberFormat="1">
      <alignment shrinkToFit="0" vertical="center" wrapText="0"/>
    </xf>
    <xf borderId="0" fillId="0" fontId="3" numFmtId="0" xfId="0" applyFont="1"/>
    <xf borderId="0" fillId="0" fontId="3" numFmtId="0" xfId="0" applyAlignment="1" applyFont="1">
      <alignment shrinkToFit="0" vertical="center" wrapText="0"/>
    </xf>
    <xf borderId="1" fillId="0" fontId="3" numFmtId="0" xfId="0" applyAlignment="1" applyBorder="1" applyFont="1">
      <alignment shrinkToFit="0" wrapText="1"/>
    </xf>
    <xf borderId="0" fillId="4" fontId="3" numFmtId="0" xfId="0" applyAlignment="1" applyFill="1" applyFont="1">
      <alignment shrinkToFit="0" vertical="center" wrapText="0"/>
    </xf>
    <xf borderId="0" fillId="3" fontId="3" numFmtId="0" xfId="0" applyAlignment="1" applyFont="1">
      <alignment shrinkToFit="0" vertical="center" wrapText="0"/>
    </xf>
    <xf borderId="0" fillId="0" fontId="3" numFmtId="164" xfId="0" applyAlignment="1" applyFont="1" applyNumberFormat="1">
      <alignment shrinkToFit="0" vertical="center" wrapText="0"/>
    </xf>
    <xf borderId="1" fillId="0" fontId="3" numFmtId="0" xfId="0" applyBorder="1" applyFont="1"/>
    <xf borderId="0" fillId="4" fontId="4" numFmtId="0" xfId="0" applyAlignment="1" applyFont="1">
      <alignment horizontal="center" readingOrder="0" shrinkToFit="0" wrapText="1"/>
    </xf>
    <xf borderId="0" fillId="4" fontId="3" numFmtId="164" xfId="0" applyAlignment="1" applyFont="1" applyNumberFormat="1">
      <alignment shrinkToFit="0" vertical="center" wrapText="0"/>
    </xf>
    <xf borderId="0" fillId="5" fontId="3" numFmtId="0" xfId="0" applyAlignment="1" applyFill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Sheet1-style 2"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pivotCacheDefinition" Target="pivotCache/pivotCacheDefinition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D120" sheet="Sheet1"/>
  </cacheSource>
  <cacheFields>
    <cacheField name="main_category" numFmtId="0">
      <sharedItems>
        <s v="Características Generales del Distrito-Barrio"/>
        <s v="Educación"/>
        <s v="Empresa y comercio"/>
        <s v="Indicadores Económicos"/>
        <s v="Indicadores Población desempleo"/>
        <s v="Participación ciudadana"/>
        <s v="Población del distrito"/>
        <s v="Resultados Elecciones Locales"/>
        <s v="Servicios y equipamientos Municipales"/>
        <s v="Vivienda"/>
        <s v="Índice de vulnerabilidad"/>
      </sharedItems>
    </cacheField>
    <cacheField name="subcategory" numFmtId="0">
      <sharedItems containsBlank="1">
        <m/>
        <s v="Nivel de estudios de la población"/>
        <s v="Población en etapas educativas"/>
        <s v="Locales abiertos"/>
        <s v="Locales cerrados"/>
        <s v="Locales en uso como vivienda"/>
        <s v="Recursos municipales"/>
        <s v="Total locales"/>
        <s v="Indicadores económicos"/>
        <s v="Población desempleo"/>
        <s v="Entidades de participación ciudadana"/>
        <s v="Dinámica demográfica"/>
        <s v="Estructura de los hogares"/>
        <s v="Estructura de población"/>
        <s v="Cultura"/>
        <s v="Deportes"/>
        <s v="Educación"/>
        <s v="Servicios Sociales Municipales"/>
        <s v="Territorial"/>
      </sharedItems>
    </cacheField>
    <cacheField name="indicator_name" numFmtId="0">
      <sharedItems>
        <s v="Población densidad (hab./ha.)"/>
        <s v="Superficie (ha.)"/>
        <s v="Población mayor/igual de 25 años con bachiller elemental, graduado escolar, ESO, formación profesional 1º grado"/>
        <s v="Población mayor/igual de 25 años con enseñanza primaria incompleta"/>
        <s v="Población mayor/igual de 25 años con estudios superiores, licenciatura, arquitectura, ingeniería sup., estudios sup. no universitarios, doctorado, postgraduado"/>
        <s v="Población mayor/igual de 25 años con formación profesional 2º grado, bachiller superior o BUP"/>
        <s v="Población mayor/igual de 25 años con nivel de estudios desconocido y/o no consta"/>
        <s v="Población mayor/igual de 25 años con titulación media, diplomatura, arquitectura o ingeniería técnica"/>
        <s v="Población mayor/igual de 25 años que no sabe leer ni escribir o sin estudios"/>
        <s v="Etapas educativas. total niñas"/>
        <s v="Etapas educativas. total niños"/>
        <s v="Población en etapa educativa de 0 a 2 años"/>
        <s v="Población en etapa educativa de 12 a 15 años"/>
        <s v="Población en etapa educativa de 3 a 5 años"/>
        <s v="Población en etapa educativa de 6 a 11 años"/>
        <s v="Población en etapas educativas"/>
        <s v="Población infantil femenina en etapa educativa de 0 a 2 años"/>
        <s v="Población infantil femenina en etapa educativa de 12 a 15 años"/>
        <s v="Población infantil femenina en etapa educativa de 3 a 5 años"/>
        <s v="Población infantil femenina en etapa educativa de 6 a 11 años"/>
        <s v="Población infantil masculina en etapa educativa de 0 a 2 años"/>
        <s v="Población infantil masculina en etapa educativa de 12 a 15 años"/>
        <s v="Población infantil masculina en etapa educativa de 3 a 5 años"/>
        <s v="Población infantil masculina en etapa educativa de 6 a 11 años"/>
        <s v="Número de locales dados de alta abiertos"/>
        <s v="Número de locales dados de alta cerrados"/>
        <s v="Número de locales dados de alta en uso como vivienda"/>
        <s v="Mercados municipales"/>
        <s v="Número de locales dados de alta totales"/>
        <s v="Pensión media mensual hombres"/>
        <s v="Pensión media mensual mujeres"/>
        <s v="Renta media disponible por persona"/>
        <s v="Renta neta media anual de los hogares (Urban Audit)"/>
        <s v="Paro registrado (número de personas registradas en SEPE en febrero)"/>
        <s v="Paro registrado (número de personas registradas en SEPE en febrero) hombres"/>
        <s v="Paro registrado (número de personas registradas en SEPE en febrero) mujeres"/>
        <s v="Tasa absoluta de paro registrado (febrero)"/>
        <s v="Tasa absoluta de paro registrado hombres"/>
        <s v="Tasa absoluta de paro registrado mujeres"/>
        <s v="Tasa de desempleo en hombres de 16 a 24 años"/>
        <s v="Tasa de desempleo en hombres de 25 a 44 años"/>
        <s v="Tasa de desempleo en hombres de 45 a 64 años"/>
        <s v="Tasa de desempleo en mujeres de 16 a 24 años"/>
        <s v="Tasa de desempleo en mujeres de 25 a 44 años"/>
        <s v="Tasa de desempleo en mujeres de 45 a 64 años"/>
        <s v="Asociaciones (sección 1ª)"/>
        <s v="Asociaciones culturales y casas regionales"/>
        <s v="Asociaciones de mujeres"/>
        <s v="Asociaciones vecinales"/>
        <s v="Fundaciones (sección 2ª)"/>
        <s v="Tasa bruta de natalidad (‰)"/>
        <s v="Tasa de crecimiento demográfico (porcentaje)"/>
        <s v="Hogares con un hombre solo mayor de 65 años"/>
        <s v="Hogares con una mujer sola mayor de 65 años"/>
        <s v="Hogares monoparentales: un hombre adulto con uno o más menores"/>
        <s v="Hogares monoparentales: una mujer adulta con uno o más menores"/>
        <s v="Tamaño medio del hogar"/>
        <s v="Total hogares"/>
        <s v="Edad media de la población"/>
        <s v="Número habitantes"/>
        <s v="Personas con nacionalidad española"/>
        <s v="Personas con nacionalidad española hombres"/>
        <s v="Personas con nacionalidad española mujeres"/>
        <s v="Personas con nacionalidad extranjera"/>
        <s v="Personas con nacionalidad extranjera hombres"/>
        <s v="Personas con nacionalidad extranjera mujeres"/>
        <s v="Población de 0 a 14 años"/>
        <s v="Población de 15 a 29 años"/>
        <s v="Población de 30 a 44 años"/>
        <s v="Población de 45 a 64 años"/>
        <s v="Población de 65 a 79 años"/>
        <s v="Población de 65 años y más"/>
        <s v="Población de 80 años y más"/>
        <s v="Población en etapa educativa (población de 0 a 16 años -16 no incluidos)"/>
        <s v="Población hombres"/>
        <s v="Población mujeres"/>
        <s v="Porcentaje de envejecimiento (población mayor de 65 años/población total)"/>
        <s v="Porcentaje de sobre-envejecimiento (población mayor de 80 años/ población mayor de 65 años)"/>
        <s v="Primera y segunda nacionalidad extranjera en el Distrito: ITALIA"/>
        <s v="Primera y segunda nacionalidad extranjera en el distrito: VENEZUELA"/>
        <s v="Proporción de personas migrantes (personas extranjeras menos UE y resto países de OCDE / población total)"/>
        <s v="Índice de dependencia (población de 0-15 + población 65 años y más / pob. 16-64)"/>
        <s v="Elecciones municipales, abstenciones"/>
        <s v="Elecciones municipales, censo electoral"/>
        <s v="Elecciones municipales, votos a Ciudadanos-Partido de la Ciudadanía"/>
        <s v="Elecciones municipales, votos a Más Madrid-Verdes Equo"/>
        <s v="Elecciones municipales, votos a Podemos-Izquierda Unida-Alianza Verde"/>
        <s v="Elecciones municipales, votos a VOX"/>
        <s v="Elecciones municipales, votos a candidaturas"/>
        <s v="Elecciones municipales, votos al Partido Popular"/>
        <s v="Elecciones municipales, votos al Partido Socialista Obrero Español"/>
        <s v="Elecciones municipales, votos en blanco"/>
        <s v="Bibliotecas municipales"/>
        <s v="Centros y espacios culturales"/>
        <s v="Centros deportivos municipales"/>
        <s v="Instalaciones deportivas básicas"/>
        <s v="Piscinas cubiertas"/>
        <s v="Pista de atletismo"/>
        <s v="Colegios públicos infantil y primaria"/>
        <s v="Escuelas infantiles municipales"/>
        <s v="Apartamentos municipales para mayores"/>
        <s v="Centro de día de atención a niños y niñas (de 3 a 12 años)"/>
        <s v="Centros de apoyo a las familias (CAF)"/>
        <s v="Centros de atención a la infancia (CAI)"/>
        <s v="Centros de servicios sociales"/>
        <s v="Centros municipales de mayores"/>
        <s v="Centros para personas sin hogar"/>
        <s v="Residencias para personas mayores"/>
        <s v="Año medio de construcción de inmuebles de uso residencial"/>
        <s v="Duración media del crédito (meses) en transacción de vivienda"/>
        <s v="Número de inmuebles de uso residencial"/>
        <s v="Superficie media construida (m2) inmuebles de uso residencial"/>
        <s v="Superficie media de la vivienda (m2) en transacción"/>
        <s v="Valor catastral medio por inmueble de uso residencial"/>
        <s v="Índice de vulnerabilidad bienestar social e igualdad"/>
        <s v="Índice de vulnerabilidad economía y empleo"/>
        <s v="Índice de vulnerabilidad educación y cultura"/>
        <s v="Índice de vulnerabilidad medio ambiente urbano y movilidad"/>
        <s v="Índice de vulnerabilidad salud"/>
      </sharedItems>
    </cacheField>
    <cacheField name="unit" numFmtId="0">
      <sharedItems>
        <s v="Habitantes/Ha."/>
        <s v="Ha"/>
        <s v="Personas"/>
        <s v="Número"/>
        <s v="Equipamientos"/>
        <s v="Euros"/>
        <s v="Renta"/>
        <s v="Tasa"/>
        <s v="Entidades"/>
        <s v="Hogares"/>
        <s v="Media"/>
        <s v="Edad"/>
        <s v="Habitantes"/>
        <s v="Proporción"/>
        <s v="Índice"/>
        <s v="Votos"/>
        <s v="Año"/>
        <s v="Tiempo (meses)"/>
        <s v="m2"/>
        <s v="Valor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1" cacheId="0" dataCaption="" compact="0" compactData="0">
  <location ref="A1:D153" firstHeaderRow="0" firstDataRow="3" firstDataCol="0"/>
  <pivotFields>
    <pivotField name="main_category" axis="axisRow" compact="0" outline="0" multipleItemSelectionAllowed="1" showAll="0" sortType="ascending">
      <items>
        <item x="0"/>
        <item x="1"/>
        <item x="2"/>
        <item x="3"/>
        <item x="4"/>
        <item x="10"/>
        <item x="5"/>
        <item x="6"/>
        <item x="7"/>
        <item x="8"/>
        <item x="9"/>
        <item t="default"/>
      </items>
    </pivotField>
    <pivotField name="subcategory" axis="axisRow" compact="0" outline="0" multipleItemSelectionAllowed="1" showAll="0" sortType="ascending">
      <items>
        <item x="0"/>
        <item x="14"/>
        <item x="15"/>
        <item x="11"/>
        <item x="16"/>
        <item x="10"/>
        <item x="12"/>
        <item x="13"/>
        <item x="8"/>
        <item x="3"/>
        <item x="4"/>
        <item x="5"/>
        <item x="1"/>
        <item x="9"/>
        <item x="2"/>
        <item x="6"/>
        <item x="17"/>
        <item x="18"/>
        <item x="7"/>
        <item t="default"/>
      </items>
    </pivotField>
    <pivotField name="indicator_name" axis="axisRow" compact="0" outline="0" multipleItemSelectionAllowed="1" showAll="0" sortType="ascending">
      <items>
        <item x="108"/>
        <item x="100"/>
        <item x="45"/>
        <item x="46"/>
        <item x="47"/>
        <item x="48"/>
        <item x="92"/>
        <item x="101"/>
        <item x="102"/>
        <item x="103"/>
        <item x="104"/>
        <item x="94"/>
        <item x="105"/>
        <item x="106"/>
        <item x="93"/>
        <item x="98"/>
        <item x="109"/>
        <item x="58"/>
        <item x="82"/>
        <item x="83"/>
        <item x="88"/>
        <item x="84"/>
        <item x="85"/>
        <item x="86"/>
        <item x="87"/>
        <item x="89"/>
        <item x="90"/>
        <item x="91"/>
        <item x="99"/>
        <item x="9"/>
        <item x="10"/>
        <item x="49"/>
        <item x="52"/>
        <item x="53"/>
        <item x="54"/>
        <item x="55"/>
        <item x="81"/>
        <item x="114"/>
        <item x="115"/>
        <item x="116"/>
        <item x="117"/>
        <item x="118"/>
        <item x="95"/>
        <item x="27"/>
        <item x="110"/>
        <item x="24"/>
        <item x="25"/>
        <item x="26"/>
        <item x="28"/>
        <item x="59"/>
        <item x="33"/>
        <item x="34"/>
        <item x="35"/>
        <item x="29"/>
        <item x="30"/>
        <item x="60"/>
        <item x="61"/>
        <item x="62"/>
        <item x="63"/>
        <item x="64"/>
        <item x="65"/>
        <item x="96"/>
        <item x="97"/>
        <item x="66"/>
        <item x="67"/>
        <item x="68"/>
        <item x="69"/>
        <item x="70"/>
        <item x="71"/>
        <item x="72"/>
        <item x="0"/>
        <item x="73"/>
        <item x="11"/>
        <item x="12"/>
        <item x="13"/>
        <item x="14"/>
        <item x="15"/>
        <item x="74"/>
        <item x="16"/>
        <item x="17"/>
        <item x="18"/>
        <item x="19"/>
        <item x="20"/>
        <item x="21"/>
        <item x="22"/>
        <item x="23"/>
        <item x="2"/>
        <item x="3"/>
        <item x="4"/>
        <item x="5"/>
        <item x="6"/>
        <item x="7"/>
        <item x="8"/>
        <item x="75"/>
        <item x="76"/>
        <item x="77"/>
        <item x="78"/>
        <item x="79"/>
        <item x="80"/>
        <item x="31"/>
        <item x="32"/>
        <item x="107"/>
        <item x="1"/>
        <item x="111"/>
        <item x="112"/>
        <item x="56"/>
        <item x="36"/>
        <item x="37"/>
        <item x="38"/>
        <item x="50"/>
        <item x="51"/>
        <item x="39"/>
        <item x="40"/>
        <item x="41"/>
        <item x="42"/>
        <item x="43"/>
        <item x="44"/>
        <item x="57"/>
        <item x="113"/>
        <item t="default"/>
      </items>
    </pivotField>
    <pivotField name="uni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</pivotFields>
  <rowFields>
    <field x="0"/>
    <field x="1"/>
    <field x="2"/>
  </rowFields>
  <dataFields>
    <dataField name="COUNTA of unit" fld="3" subtotal="count" baseField="0"/>
  </dataFields>
</pivotTableDefinition>
</file>

<file path=xl/tables/table1.xml><?xml version="1.0" encoding="utf-8"?>
<table xmlns="http://schemas.openxmlformats.org/spreadsheetml/2006/main" ref="A1:E120" displayName="Table1" name="Table1" id="1">
  <tableColumns count="5">
    <tableColumn name="main_category" id="1"/>
    <tableColumn name="subcategory" id="2"/>
    <tableColumn name="indicator_name" id="3"/>
    <tableColumn name="unit" id="4"/>
    <tableColumn name="indicator_name_in_ english" id="5"/>
  </tableColumns>
  <tableStyleInfo name="Sheet1-style" showColumnStripes="0" showFirstColumn="1" showLastColumn="1" showRowStripes="1"/>
</table>
</file>

<file path=xl/tables/table2.xml><?xml version="1.0" encoding="utf-8"?>
<table xmlns="http://schemas.openxmlformats.org/spreadsheetml/2006/main" headerRowCount="0" ref="K12:K16" displayName="Table_1" name="Table_1" id="2">
  <tableColumns count="1">
    <tableColumn name="Column1" id="1"/>
  </tableColumns>
  <tableStyleInfo name="Sheet1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Relationship Id="rId6" Type="http://schemas.openxmlformats.org/officeDocument/2006/relationships/table" Target="../tables/table1.xml"/><Relationship Id="rId7" Type="http://schemas.openxmlformats.org/officeDocument/2006/relationships/table" Target="../tables/table2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43.0"/>
    <col customWidth="1" min="2" max="2" width="33.14"/>
    <col customWidth="1" min="3" max="3" width="43.0"/>
    <col customWidth="1" min="4" max="4" width="16.86"/>
    <col customWidth="1" min="5" max="5" width="80.14"/>
    <col customWidth="1" min="6" max="9" width="8.71"/>
    <col customWidth="1" min="10" max="10" width="13.86"/>
    <col customWidth="1" min="11" max="11" width="8.71"/>
    <col customWidth="1" min="12" max="12" width="68.86"/>
    <col customWidth="1" min="13" max="25" width="8.71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J1" s="4" t="s">
        <v>5</v>
      </c>
      <c r="K1" s="4" t="s">
        <v>7</v>
      </c>
      <c r="L1" s="4"/>
    </row>
    <row r="2" ht="22.5" customHeight="1">
      <c r="A2" s="5" t="s">
        <v>8</v>
      </c>
      <c r="B2" s="5"/>
      <c r="C2" s="5" t="s">
        <v>9</v>
      </c>
      <c r="D2" s="5" t="s">
        <v>16</v>
      </c>
      <c r="E2" s="6" t="s">
        <v>18</v>
      </c>
      <c r="G2" s="7" t="s">
        <v>22</v>
      </c>
      <c r="J2" s="4">
        <v>1.0</v>
      </c>
      <c r="K2" s="4" t="s">
        <v>18</v>
      </c>
      <c r="L2" s="4"/>
    </row>
    <row r="3" ht="22.5" customHeight="1">
      <c r="A3" s="8" t="s">
        <v>8</v>
      </c>
      <c r="C3" s="8" t="s">
        <v>10</v>
      </c>
      <c r="D3" s="8" t="s">
        <v>31</v>
      </c>
      <c r="E3" s="8" t="s">
        <v>33</v>
      </c>
      <c r="J3" s="4">
        <v>2.0</v>
      </c>
      <c r="K3" s="4" t="s">
        <v>35</v>
      </c>
      <c r="L3" s="9"/>
    </row>
    <row r="4" ht="22.5" customHeight="1">
      <c r="A4" s="8" t="s">
        <v>13</v>
      </c>
      <c r="B4" s="8" t="s">
        <v>14</v>
      </c>
      <c r="C4" s="8" t="s">
        <v>15</v>
      </c>
      <c r="D4" s="8" t="s">
        <v>42</v>
      </c>
      <c r="E4" s="10" t="s">
        <v>44</v>
      </c>
      <c r="J4" s="4">
        <v>3.0</v>
      </c>
      <c r="K4" s="4" t="s">
        <v>48</v>
      </c>
      <c r="L4" s="4"/>
    </row>
    <row r="5" ht="22.5" customHeight="1">
      <c r="A5" s="8" t="s">
        <v>13</v>
      </c>
      <c r="B5" s="8" t="s">
        <v>14</v>
      </c>
      <c r="C5" s="8" t="s">
        <v>17</v>
      </c>
      <c r="D5" s="8" t="s">
        <v>42</v>
      </c>
      <c r="E5" s="10" t="s">
        <v>61</v>
      </c>
      <c r="J5" s="4">
        <v>4.0</v>
      </c>
      <c r="K5" s="4" t="s">
        <v>65</v>
      </c>
      <c r="L5" s="4"/>
    </row>
    <row r="6" ht="22.5" customHeight="1">
      <c r="A6" s="11" t="s">
        <v>13</v>
      </c>
      <c r="B6" s="11" t="s">
        <v>14</v>
      </c>
      <c r="C6" s="11" t="s">
        <v>19</v>
      </c>
      <c r="D6" s="11" t="s">
        <v>42</v>
      </c>
      <c r="E6" s="11" t="s">
        <v>73</v>
      </c>
      <c r="G6" s="7" t="s">
        <v>22</v>
      </c>
      <c r="J6" s="4">
        <v>5.0</v>
      </c>
      <c r="K6" s="4" t="s">
        <v>76</v>
      </c>
      <c r="L6" s="4"/>
    </row>
    <row r="7" ht="22.5" customHeight="1">
      <c r="A7" s="8" t="s">
        <v>13</v>
      </c>
      <c r="B7" s="8" t="s">
        <v>14</v>
      </c>
      <c r="C7" s="8" t="s">
        <v>20</v>
      </c>
      <c r="D7" s="8" t="s">
        <v>42</v>
      </c>
      <c r="E7" s="10" t="s">
        <v>85</v>
      </c>
      <c r="J7" s="4">
        <v>6.0</v>
      </c>
      <c r="K7" s="4" t="s">
        <v>88</v>
      </c>
      <c r="L7" s="4"/>
    </row>
    <row r="8" ht="22.5" customHeight="1">
      <c r="A8" s="8" t="s">
        <v>13</v>
      </c>
      <c r="B8" s="8" t="s">
        <v>14</v>
      </c>
      <c r="C8" s="8" t="s">
        <v>21</v>
      </c>
      <c r="D8" s="8" t="s">
        <v>42</v>
      </c>
      <c r="E8" s="10" t="s">
        <v>96</v>
      </c>
      <c r="J8" s="4">
        <v>7.0</v>
      </c>
      <c r="K8" s="4" t="s">
        <v>102</v>
      </c>
      <c r="L8" s="4"/>
    </row>
    <row r="9" ht="22.5" customHeight="1">
      <c r="A9" s="11" t="s">
        <v>13</v>
      </c>
      <c r="B9" s="11" t="s">
        <v>14</v>
      </c>
      <c r="C9" s="11" t="s">
        <v>23</v>
      </c>
      <c r="D9" s="11" t="s">
        <v>42</v>
      </c>
      <c r="E9" s="11" t="s">
        <v>110</v>
      </c>
      <c r="G9" s="7" t="s">
        <v>113</v>
      </c>
      <c r="J9" s="4">
        <v>8.0</v>
      </c>
      <c r="K9" s="4" t="s">
        <v>115</v>
      </c>
      <c r="L9" s="4"/>
    </row>
    <row r="10" ht="22.5" customHeight="1">
      <c r="A10" s="8" t="s">
        <v>13</v>
      </c>
      <c r="B10" s="8" t="s">
        <v>14</v>
      </c>
      <c r="C10" s="8" t="s">
        <v>24</v>
      </c>
      <c r="D10" s="8" t="s">
        <v>42</v>
      </c>
      <c r="E10" s="10" t="s">
        <v>124</v>
      </c>
      <c r="J10" s="4">
        <v>9.0</v>
      </c>
      <c r="K10" s="4" t="s">
        <v>128</v>
      </c>
      <c r="L10" s="4"/>
    </row>
    <row r="11" ht="22.5" customHeight="1">
      <c r="A11" s="8" t="s">
        <v>13</v>
      </c>
      <c r="B11" s="8" t="s">
        <v>26</v>
      </c>
      <c r="C11" s="8" t="s">
        <v>27</v>
      </c>
      <c r="D11" s="8" t="s">
        <v>42</v>
      </c>
      <c r="E11" s="8" t="s">
        <v>136</v>
      </c>
      <c r="J11" s="4">
        <v>10.0</v>
      </c>
      <c r="K11" s="4" t="s">
        <v>139</v>
      </c>
      <c r="L11" s="4"/>
    </row>
    <row r="12" ht="22.5" customHeight="1">
      <c r="A12" s="8" t="s">
        <v>13</v>
      </c>
      <c r="B12" s="8" t="s">
        <v>26</v>
      </c>
      <c r="C12" s="8" t="s">
        <v>28</v>
      </c>
      <c r="D12" s="8" t="s">
        <v>42</v>
      </c>
      <c r="E12" s="12" t="s">
        <v>147</v>
      </c>
      <c r="J12" s="4">
        <v>11.0</v>
      </c>
      <c r="K12" s="13" t="s">
        <v>150</v>
      </c>
      <c r="L12" s="4"/>
    </row>
    <row r="13" ht="22.5" customHeight="1">
      <c r="A13" s="8" t="s">
        <v>13</v>
      </c>
      <c r="B13" s="8" t="s">
        <v>26</v>
      </c>
      <c r="C13" s="8" t="s">
        <v>29</v>
      </c>
      <c r="D13" s="8" t="s">
        <v>42</v>
      </c>
      <c r="E13" s="8" t="s">
        <v>158</v>
      </c>
      <c r="J13" s="4">
        <v>12.0</v>
      </c>
      <c r="K13" s="13" t="s">
        <v>162</v>
      </c>
      <c r="L13" s="4"/>
    </row>
    <row r="14" ht="22.5" customHeight="1">
      <c r="A14" s="8" t="s">
        <v>13</v>
      </c>
      <c r="B14" s="8" t="s">
        <v>26</v>
      </c>
      <c r="C14" s="8" t="s">
        <v>30</v>
      </c>
      <c r="D14" s="8" t="s">
        <v>42</v>
      </c>
      <c r="E14" s="8" t="s">
        <v>168</v>
      </c>
      <c r="J14" s="4">
        <v>13.0</v>
      </c>
      <c r="K14" s="13" t="s">
        <v>171</v>
      </c>
      <c r="L14" s="4"/>
    </row>
    <row r="15" ht="22.5" customHeight="1">
      <c r="A15" s="8" t="s">
        <v>13</v>
      </c>
      <c r="B15" s="8" t="s">
        <v>26</v>
      </c>
      <c r="C15" s="8" t="s">
        <v>32</v>
      </c>
      <c r="D15" s="8" t="s">
        <v>42</v>
      </c>
      <c r="E15" s="8" t="s">
        <v>179</v>
      </c>
      <c r="J15" s="4">
        <v>14.0</v>
      </c>
      <c r="K15" s="13" t="s">
        <v>181</v>
      </c>
      <c r="L15" s="4"/>
    </row>
    <row r="16" ht="22.5" customHeight="1">
      <c r="A16" s="8" t="s">
        <v>13</v>
      </c>
      <c r="B16" s="8" t="s">
        <v>26</v>
      </c>
      <c r="C16" s="8" t="s">
        <v>34</v>
      </c>
      <c r="D16" s="8" t="s">
        <v>42</v>
      </c>
      <c r="E16" s="8" t="s">
        <v>191</v>
      </c>
      <c r="J16" s="4">
        <v>15.0</v>
      </c>
      <c r="K16" s="13" t="s">
        <v>193</v>
      </c>
      <c r="L16" s="4"/>
    </row>
    <row r="17" ht="22.5" customHeight="1">
      <c r="A17" s="8" t="s">
        <v>13</v>
      </c>
      <c r="B17" s="8" t="s">
        <v>26</v>
      </c>
      <c r="C17" s="8" t="s">
        <v>26</v>
      </c>
      <c r="D17" s="8" t="s">
        <v>42</v>
      </c>
      <c r="E17" s="8" t="s">
        <v>200</v>
      </c>
    </row>
    <row r="18" ht="22.5" customHeight="1">
      <c r="A18" s="8" t="s">
        <v>13</v>
      </c>
      <c r="B18" s="8" t="s">
        <v>26</v>
      </c>
      <c r="C18" s="8" t="s">
        <v>36</v>
      </c>
      <c r="D18" s="8" t="s">
        <v>42</v>
      </c>
      <c r="E18" s="8" t="s">
        <v>207</v>
      </c>
      <c r="J18" s="14" t="s">
        <v>210</v>
      </c>
    </row>
    <row r="19" ht="22.5" customHeight="1">
      <c r="A19" s="8" t="s">
        <v>13</v>
      </c>
      <c r="B19" s="8" t="s">
        <v>26</v>
      </c>
      <c r="C19" s="8" t="s">
        <v>37</v>
      </c>
      <c r="D19" s="8" t="s">
        <v>42</v>
      </c>
      <c r="E19" s="8" t="s">
        <v>220</v>
      </c>
    </row>
    <row r="20" ht="22.5" customHeight="1">
      <c r="A20" s="8" t="s">
        <v>13</v>
      </c>
      <c r="B20" s="8" t="s">
        <v>26</v>
      </c>
      <c r="C20" s="8" t="s">
        <v>38</v>
      </c>
      <c r="D20" s="8" t="s">
        <v>42</v>
      </c>
      <c r="E20" s="8" t="s">
        <v>222</v>
      </c>
    </row>
    <row r="21" ht="15.75" customHeight="1">
      <c r="A21" s="8" t="s">
        <v>13</v>
      </c>
      <c r="B21" s="8" t="s">
        <v>26</v>
      </c>
      <c r="C21" s="8" t="s">
        <v>39</v>
      </c>
      <c r="D21" s="8" t="s">
        <v>42</v>
      </c>
      <c r="E21" s="8" t="s">
        <v>223</v>
      </c>
    </row>
    <row r="22" ht="15.75" customHeight="1">
      <c r="A22" s="8" t="s">
        <v>13</v>
      </c>
      <c r="B22" s="8" t="s">
        <v>26</v>
      </c>
      <c r="C22" s="8" t="s">
        <v>40</v>
      </c>
      <c r="D22" s="8" t="s">
        <v>42</v>
      </c>
      <c r="E22" s="8" t="s">
        <v>224</v>
      </c>
    </row>
    <row r="23" ht="15.75" customHeight="1">
      <c r="A23" s="8" t="s">
        <v>13</v>
      </c>
      <c r="B23" s="8" t="s">
        <v>26</v>
      </c>
      <c r="C23" s="8" t="s">
        <v>41</v>
      </c>
      <c r="D23" s="8" t="s">
        <v>42</v>
      </c>
      <c r="E23" s="8" t="s">
        <v>225</v>
      </c>
    </row>
    <row r="24" ht="15.75" customHeight="1">
      <c r="A24" s="8" t="s">
        <v>13</v>
      </c>
      <c r="B24" s="8" t="s">
        <v>26</v>
      </c>
      <c r="C24" s="8" t="s">
        <v>43</v>
      </c>
      <c r="D24" s="8" t="s">
        <v>42</v>
      </c>
      <c r="E24" s="8" t="s">
        <v>226</v>
      </c>
    </row>
    <row r="25" ht="15.75" customHeight="1">
      <c r="A25" s="8" t="s">
        <v>13</v>
      </c>
      <c r="B25" s="8" t="s">
        <v>26</v>
      </c>
      <c r="C25" s="8" t="s">
        <v>45</v>
      </c>
      <c r="D25" s="8" t="s">
        <v>42</v>
      </c>
      <c r="E25" s="8" t="s">
        <v>227</v>
      </c>
    </row>
    <row r="26" ht="15.75" customHeight="1">
      <c r="A26" s="8" t="s">
        <v>49</v>
      </c>
      <c r="B26" s="8" t="s">
        <v>50</v>
      </c>
      <c r="C26" s="8" t="s">
        <v>51</v>
      </c>
      <c r="D26" s="8" t="s">
        <v>228</v>
      </c>
      <c r="E26" s="8" t="s">
        <v>229</v>
      </c>
    </row>
    <row r="27" ht="15.75" customHeight="1">
      <c r="A27" s="8" t="s">
        <v>49</v>
      </c>
      <c r="B27" s="8" t="s">
        <v>53</v>
      </c>
      <c r="C27" s="8" t="s">
        <v>54</v>
      </c>
      <c r="D27" s="8" t="s">
        <v>228</v>
      </c>
      <c r="E27" s="8" t="s">
        <v>230</v>
      </c>
    </row>
    <row r="28" ht="15.75" customHeight="1">
      <c r="A28" s="11" t="s">
        <v>49</v>
      </c>
      <c r="B28" s="11" t="s">
        <v>56</v>
      </c>
      <c r="C28" s="11" t="s">
        <v>57</v>
      </c>
      <c r="D28" s="11" t="s">
        <v>228</v>
      </c>
      <c r="E28" s="11" t="s">
        <v>231</v>
      </c>
      <c r="G28" s="7" t="s">
        <v>22</v>
      </c>
    </row>
    <row r="29" ht="15.75" customHeight="1">
      <c r="A29" s="8" t="s">
        <v>49</v>
      </c>
      <c r="B29" s="8" t="s">
        <v>59</v>
      </c>
      <c r="C29" s="8" t="s">
        <v>60</v>
      </c>
      <c r="D29" s="8" t="s">
        <v>232</v>
      </c>
      <c r="E29" s="8" t="s">
        <v>233</v>
      </c>
    </row>
    <row r="30" ht="15.75" customHeight="1">
      <c r="A30" s="5" t="s">
        <v>49</v>
      </c>
      <c r="B30" s="5" t="s">
        <v>63</v>
      </c>
      <c r="C30" s="5" t="s">
        <v>64</v>
      </c>
      <c r="D30" s="5" t="s">
        <v>228</v>
      </c>
      <c r="E30" s="15" t="s">
        <v>234</v>
      </c>
      <c r="G30" s="7" t="s">
        <v>235</v>
      </c>
    </row>
    <row r="31" ht="15.75" customHeight="1">
      <c r="A31" s="8" t="s">
        <v>68</v>
      </c>
      <c r="B31" s="8" t="s">
        <v>69</v>
      </c>
      <c r="C31" s="8" t="s">
        <v>70</v>
      </c>
      <c r="D31" s="8" t="s">
        <v>236</v>
      </c>
      <c r="E31" s="8" t="s">
        <v>237</v>
      </c>
    </row>
    <row r="32" ht="15.75" customHeight="1">
      <c r="A32" s="8" t="s">
        <v>68</v>
      </c>
      <c r="B32" s="8" t="s">
        <v>69</v>
      </c>
      <c r="C32" s="8" t="s">
        <v>71</v>
      </c>
      <c r="D32" s="8" t="s">
        <v>236</v>
      </c>
      <c r="E32" s="8" t="s">
        <v>238</v>
      </c>
    </row>
    <row r="33" ht="15.75" customHeight="1">
      <c r="A33" s="11" t="s">
        <v>68</v>
      </c>
      <c r="B33" s="11" t="s">
        <v>69</v>
      </c>
      <c r="C33" s="11" t="s">
        <v>72</v>
      </c>
      <c r="D33" s="11" t="s">
        <v>239</v>
      </c>
      <c r="E33" s="11" t="s">
        <v>65</v>
      </c>
      <c r="G33" s="7" t="s">
        <v>22</v>
      </c>
    </row>
    <row r="34" ht="15.75" customHeight="1">
      <c r="A34" s="11" t="s">
        <v>68</v>
      </c>
      <c r="B34" s="11" t="s">
        <v>69</v>
      </c>
      <c r="C34" s="11" t="s">
        <v>74</v>
      </c>
      <c r="D34" s="11" t="s">
        <v>239</v>
      </c>
      <c r="E34" s="11" t="s">
        <v>76</v>
      </c>
      <c r="G34" s="7" t="s">
        <v>22</v>
      </c>
    </row>
    <row r="35" ht="15.75" customHeight="1">
      <c r="A35" s="8" t="s">
        <v>78</v>
      </c>
      <c r="B35" s="8" t="s">
        <v>79</v>
      </c>
      <c r="C35" s="8" t="s">
        <v>80</v>
      </c>
      <c r="D35" s="8" t="s">
        <v>42</v>
      </c>
      <c r="E35" s="8" t="s">
        <v>240</v>
      </c>
    </row>
    <row r="36" ht="15.75" customHeight="1">
      <c r="A36" s="8" t="s">
        <v>78</v>
      </c>
      <c r="B36" s="8" t="s">
        <v>79</v>
      </c>
      <c r="C36" s="8" t="s">
        <v>81</v>
      </c>
      <c r="D36" s="8" t="s">
        <v>42</v>
      </c>
      <c r="E36" s="8" t="s">
        <v>241</v>
      </c>
    </row>
    <row r="37" ht="15.75" customHeight="1">
      <c r="A37" s="8" t="s">
        <v>78</v>
      </c>
      <c r="B37" s="8" t="s">
        <v>79</v>
      </c>
      <c r="C37" s="8" t="s">
        <v>82</v>
      </c>
      <c r="D37" s="8" t="s">
        <v>42</v>
      </c>
      <c r="E37" s="8" t="s">
        <v>242</v>
      </c>
    </row>
    <row r="38" ht="15.75" customHeight="1">
      <c r="A38" s="11" t="s">
        <v>78</v>
      </c>
      <c r="B38" s="11" t="s">
        <v>79</v>
      </c>
      <c r="C38" s="11" t="s">
        <v>83</v>
      </c>
      <c r="D38" s="11" t="s">
        <v>243</v>
      </c>
      <c r="E38" s="11" t="s">
        <v>88</v>
      </c>
      <c r="G38" s="7" t="s">
        <v>22</v>
      </c>
    </row>
    <row r="39" ht="15.75" customHeight="1">
      <c r="A39" s="8" t="s">
        <v>78</v>
      </c>
      <c r="B39" s="8" t="s">
        <v>79</v>
      </c>
      <c r="C39" s="8" t="s">
        <v>84</v>
      </c>
      <c r="D39" s="8" t="s">
        <v>243</v>
      </c>
      <c r="E39" s="8" t="s">
        <v>244</v>
      </c>
    </row>
    <row r="40" ht="15.75" customHeight="1">
      <c r="A40" s="8" t="s">
        <v>78</v>
      </c>
      <c r="B40" s="8" t="s">
        <v>79</v>
      </c>
      <c r="C40" s="8" t="s">
        <v>86</v>
      </c>
      <c r="D40" s="8" t="s">
        <v>243</v>
      </c>
      <c r="E40" s="8" t="s">
        <v>245</v>
      </c>
    </row>
    <row r="41" ht="15.75" customHeight="1">
      <c r="A41" s="8" t="s">
        <v>78</v>
      </c>
      <c r="B41" s="8" t="s">
        <v>79</v>
      </c>
      <c r="C41" s="8" t="s">
        <v>87</v>
      </c>
      <c r="D41" s="8" t="s">
        <v>243</v>
      </c>
      <c r="E41" s="8" t="s">
        <v>246</v>
      </c>
    </row>
    <row r="42" ht="15.75" customHeight="1">
      <c r="A42" s="8" t="s">
        <v>78</v>
      </c>
      <c r="B42" s="8" t="s">
        <v>79</v>
      </c>
      <c r="C42" s="8" t="s">
        <v>89</v>
      </c>
      <c r="D42" s="8" t="s">
        <v>243</v>
      </c>
      <c r="E42" s="8" t="s">
        <v>247</v>
      </c>
    </row>
    <row r="43" ht="15.75" customHeight="1">
      <c r="A43" s="8" t="s">
        <v>78</v>
      </c>
      <c r="B43" s="8" t="s">
        <v>79</v>
      </c>
      <c r="C43" s="8" t="s">
        <v>90</v>
      </c>
      <c r="D43" s="8" t="s">
        <v>243</v>
      </c>
      <c r="E43" s="8" t="s">
        <v>248</v>
      </c>
    </row>
    <row r="44" ht="15.75" customHeight="1">
      <c r="A44" s="8" t="s">
        <v>78</v>
      </c>
      <c r="B44" s="8" t="s">
        <v>79</v>
      </c>
      <c r="C44" s="8" t="s">
        <v>91</v>
      </c>
      <c r="D44" s="8" t="s">
        <v>243</v>
      </c>
      <c r="E44" s="8" t="s">
        <v>249</v>
      </c>
    </row>
    <row r="45" ht="15.75" customHeight="1">
      <c r="A45" s="8" t="s">
        <v>78</v>
      </c>
      <c r="B45" s="8" t="s">
        <v>79</v>
      </c>
      <c r="C45" s="8" t="s">
        <v>92</v>
      </c>
      <c r="D45" s="8" t="s">
        <v>243</v>
      </c>
      <c r="E45" s="8" t="s">
        <v>250</v>
      </c>
    </row>
    <row r="46" ht="15.75" customHeight="1">
      <c r="A46" s="8" t="s">
        <v>78</v>
      </c>
      <c r="B46" s="8" t="s">
        <v>79</v>
      </c>
      <c r="C46" s="8" t="s">
        <v>93</v>
      </c>
      <c r="D46" s="8" t="s">
        <v>243</v>
      </c>
      <c r="E46" s="8" t="s">
        <v>251</v>
      </c>
    </row>
    <row r="47" ht="15.75" customHeight="1">
      <c r="A47" s="8" t="s">
        <v>107</v>
      </c>
      <c r="B47" s="8" t="s">
        <v>108</v>
      </c>
      <c r="C47" s="8" t="s">
        <v>109</v>
      </c>
      <c r="D47" s="8" t="s">
        <v>252</v>
      </c>
      <c r="E47" s="8" t="s">
        <v>253</v>
      </c>
    </row>
    <row r="48" ht="15.75" customHeight="1">
      <c r="A48" s="8" t="s">
        <v>107</v>
      </c>
      <c r="B48" s="8" t="s">
        <v>108</v>
      </c>
      <c r="C48" s="8" t="s">
        <v>111</v>
      </c>
      <c r="D48" s="8" t="s">
        <v>252</v>
      </c>
      <c r="E48" s="8" t="s">
        <v>254</v>
      </c>
    </row>
    <row r="49" ht="15.75" customHeight="1">
      <c r="A49" s="8" t="s">
        <v>107</v>
      </c>
      <c r="B49" s="8" t="s">
        <v>108</v>
      </c>
      <c r="C49" s="8" t="s">
        <v>112</v>
      </c>
      <c r="D49" s="8" t="s">
        <v>252</v>
      </c>
      <c r="E49" s="8" t="s">
        <v>255</v>
      </c>
    </row>
    <row r="50" ht="15.75" customHeight="1">
      <c r="A50" s="8" t="s">
        <v>107</v>
      </c>
      <c r="B50" s="8" t="s">
        <v>108</v>
      </c>
      <c r="C50" s="8" t="s">
        <v>114</v>
      </c>
      <c r="D50" s="8" t="s">
        <v>252</v>
      </c>
      <c r="E50" s="8" t="s">
        <v>256</v>
      </c>
    </row>
    <row r="51" ht="15.75" customHeight="1">
      <c r="A51" s="8" t="s">
        <v>107</v>
      </c>
      <c r="B51" s="8" t="s">
        <v>108</v>
      </c>
      <c r="C51" s="8" t="s">
        <v>116</v>
      </c>
      <c r="D51" s="8" t="s">
        <v>252</v>
      </c>
      <c r="E51" s="8" t="s">
        <v>257</v>
      </c>
    </row>
    <row r="52" ht="15.75" customHeight="1">
      <c r="A52" s="8" t="s">
        <v>119</v>
      </c>
      <c r="B52" s="8" t="s">
        <v>120</v>
      </c>
      <c r="C52" s="8" t="s">
        <v>121</v>
      </c>
      <c r="D52" s="8" t="s">
        <v>243</v>
      </c>
      <c r="E52" s="8" t="s">
        <v>258</v>
      </c>
    </row>
    <row r="53" ht="15.75" customHeight="1">
      <c r="A53" s="11" t="s">
        <v>119</v>
      </c>
      <c r="B53" s="11" t="s">
        <v>120</v>
      </c>
      <c r="C53" s="11" t="s">
        <v>122</v>
      </c>
      <c r="D53" s="11" t="s">
        <v>243</v>
      </c>
      <c r="E53" s="11" t="s">
        <v>102</v>
      </c>
      <c r="G53" s="7" t="s">
        <v>22</v>
      </c>
    </row>
    <row r="54" ht="15.75" customHeight="1">
      <c r="A54" s="8" t="s">
        <v>119</v>
      </c>
      <c r="B54" s="8" t="s">
        <v>125</v>
      </c>
      <c r="C54" s="8" t="s">
        <v>126</v>
      </c>
      <c r="D54" s="8" t="s">
        <v>259</v>
      </c>
      <c r="E54" s="8" t="s">
        <v>260</v>
      </c>
    </row>
    <row r="55" ht="15.75" customHeight="1">
      <c r="A55" s="8" t="s">
        <v>119</v>
      </c>
      <c r="B55" s="8" t="s">
        <v>125</v>
      </c>
      <c r="C55" s="8" t="s">
        <v>127</v>
      </c>
      <c r="D55" s="8" t="s">
        <v>259</v>
      </c>
      <c r="E55" s="8" t="s">
        <v>261</v>
      </c>
    </row>
    <row r="56" ht="15.75" customHeight="1">
      <c r="A56" s="8" t="s">
        <v>119</v>
      </c>
      <c r="B56" s="8" t="s">
        <v>125</v>
      </c>
      <c r="C56" s="8" t="s">
        <v>129</v>
      </c>
      <c r="D56" s="8" t="s">
        <v>259</v>
      </c>
      <c r="E56" s="8" t="s">
        <v>262</v>
      </c>
    </row>
    <row r="57" ht="15.75" customHeight="1">
      <c r="A57" s="8" t="s">
        <v>119</v>
      </c>
      <c r="B57" s="8" t="s">
        <v>125</v>
      </c>
      <c r="C57" s="8" t="s">
        <v>130</v>
      </c>
      <c r="D57" s="8" t="s">
        <v>259</v>
      </c>
      <c r="E57" s="8" t="s">
        <v>263</v>
      </c>
    </row>
    <row r="58" ht="15.75" customHeight="1">
      <c r="A58" s="11" t="s">
        <v>119</v>
      </c>
      <c r="B58" s="11" t="s">
        <v>125</v>
      </c>
      <c r="C58" s="11" t="s">
        <v>131</v>
      </c>
      <c r="D58" s="11" t="s">
        <v>264</v>
      </c>
      <c r="E58" s="11" t="s">
        <v>115</v>
      </c>
      <c r="G58" s="7" t="s">
        <v>22</v>
      </c>
    </row>
    <row r="59" ht="15.75" customHeight="1">
      <c r="A59" s="8" t="s">
        <v>119</v>
      </c>
      <c r="B59" s="8" t="s">
        <v>125</v>
      </c>
      <c r="C59" s="8" t="s">
        <v>132</v>
      </c>
      <c r="D59" s="8" t="s">
        <v>259</v>
      </c>
      <c r="E59" s="8" t="s">
        <v>265</v>
      </c>
    </row>
    <row r="60" ht="15.75" customHeight="1">
      <c r="A60" s="11" t="s">
        <v>119</v>
      </c>
      <c r="B60" s="11" t="s">
        <v>134</v>
      </c>
      <c r="C60" s="11" t="s">
        <v>135</v>
      </c>
      <c r="D60" s="11" t="s">
        <v>266</v>
      </c>
      <c r="E60" s="11" t="s">
        <v>128</v>
      </c>
      <c r="G60" s="7" t="s">
        <v>22</v>
      </c>
    </row>
    <row r="61" ht="15.75" customHeight="1">
      <c r="A61" s="11" t="s">
        <v>119</v>
      </c>
      <c r="B61" s="11" t="s">
        <v>134</v>
      </c>
      <c r="C61" s="11" t="s">
        <v>138</v>
      </c>
      <c r="D61" s="11" t="s">
        <v>267</v>
      </c>
      <c r="E61" s="11" t="s">
        <v>268</v>
      </c>
      <c r="G61" s="7" t="s">
        <v>235</v>
      </c>
    </row>
    <row r="62" ht="15.75" customHeight="1">
      <c r="A62" s="8" t="s">
        <v>119</v>
      </c>
      <c r="B62" s="8" t="s">
        <v>134</v>
      </c>
      <c r="C62" s="8" t="s">
        <v>140</v>
      </c>
      <c r="D62" s="8" t="s">
        <v>42</v>
      </c>
      <c r="E62" s="8" t="s">
        <v>269</v>
      </c>
    </row>
    <row r="63" ht="15.75" customHeight="1">
      <c r="A63" s="8" t="s">
        <v>119</v>
      </c>
      <c r="B63" s="8" t="s">
        <v>134</v>
      </c>
      <c r="C63" s="8" t="s">
        <v>141</v>
      </c>
      <c r="D63" s="8" t="s">
        <v>42</v>
      </c>
      <c r="E63" s="8" t="s">
        <v>270</v>
      </c>
    </row>
    <row r="64" ht="15.75" customHeight="1">
      <c r="A64" s="8" t="s">
        <v>119</v>
      </c>
      <c r="B64" s="8" t="s">
        <v>134</v>
      </c>
      <c r="C64" s="8" t="s">
        <v>142</v>
      </c>
      <c r="D64" s="8" t="s">
        <v>42</v>
      </c>
      <c r="E64" s="8" t="s">
        <v>271</v>
      </c>
    </row>
    <row r="65" ht="15.75" customHeight="1">
      <c r="A65" s="8" t="s">
        <v>119</v>
      </c>
      <c r="B65" s="8" t="s">
        <v>134</v>
      </c>
      <c r="C65" s="8" t="s">
        <v>143</v>
      </c>
      <c r="D65" s="8" t="s">
        <v>42</v>
      </c>
      <c r="E65" s="8" t="s">
        <v>272</v>
      </c>
    </row>
    <row r="66" ht="15.75" customHeight="1">
      <c r="A66" s="8" t="s">
        <v>119</v>
      </c>
      <c r="B66" s="8" t="s">
        <v>134</v>
      </c>
      <c r="C66" s="8" t="s">
        <v>144</v>
      </c>
      <c r="D66" s="8" t="s">
        <v>42</v>
      </c>
      <c r="E66" s="8" t="s">
        <v>273</v>
      </c>
    </row>
    <row r="67" ht="15.75" customHeight="1">
      <c r="A67" s="8" t="s">
        <v>119</v>
      </c>
      <c r="B67" s="8" t="s">
        <v>134</v>
      </c>
      <c r="C67" s="8" t="s">
        <v>145</v>
      </c>
      <c r="D67" s="8" t="s">
        <v>42</v>
      </c>
      <c r="E67" s="8" t="s">
        <v>274</v>
      </c>
    </row>
    <row r="68" ht="15.75" customHeight="1">
      <c r="A68" s="8" t="s">
        <v>119</v>
      </c>
      <c r="B68" s="8" t="s">
        <v>134</v>
      </c>
      <c r="C68" s="8" t="s">
        <v>146</v>
      </c>
      <c r="D68" s="8" t="s">
        <v>42</v>
      </c>
      <c r="E68" s="8" t="s">
        <v>275</v>
      </c>
    </row>
    <row r="69" ht="15.75" customHeight="1">
      <c r="A69" s="8" t="s">
        <v>119</v>
      </c>
      <c r="B69" s="8" t="s">
        <v>134</v>
      </c>
      <c r="C69" s="8" t="s">
        <v>148</v>
      </c>
      <c r="D69" s="8" t="s">
        <v>42</v>
      </c>
      <c r="E69" s="8" t="s">
        <v>276</v>
      </c>
    </row>
    <row r="70" ht="15.75" customHeight="1">
      <c r="A70" s="8" t="s">
        <v>119</v>
      </c>
      <c r="B70" s="8" t="s">
        <v>134</v>
      </c>
      <c r="C70" s="8" t="s">
        <v>149</v>
      </c>
      <c r="D70" s="8" t="s">
        <v>42</v>
      </c>
      <c r="E70" s="8" t="s">
        <v>277</v>
      </c>
    </row>
    <row r="71" ht="15.75" customHeight="1">
      <c r="A71" s="8" t="s">
        <v>119</v>
      </c>
      <c r="B71" s="8" t="s">
        <v>134</v>
      </c>
      <c r="C71" s="8" t="s">
        <v>151</v>
      </c>
      <c r="D71" s="8" t="s">
        <v>42</v>
      </c>
      <c r="E71" s="8" t="s">
        <v>278</v>
      </c>
    </row>
    <row r="72" ht="15.75" customHeight="1">
      <c r="A72" s="8" t="s">
        <v>119</v>
      </c>
      <c r="B72" s="8" t="s">
        <v>134</v>
      </c>
      <c r="C72" s="8" t="s">
        <v>152</v>
      </c>
      <c r="D72" s="8" t="s">
        <v>42</v>
      </c>
      <c r="E72" s="8" t="s">
        <v>279</v>
      </c>
    </row>
    <row r="73" ht="15.75" customHeight="1">
      <c r="A73" s="8" t="s">
        <v>119</v>
      </c>
      <c r="B73" s="8" t="s">
        <v>134</v>
      </c>
      <c r="C73" s="8" t="s">
        <v>153</v>
      </c>
      <c r="D73" s="8" t="s">
        <v>42</v>
      </c>
      <c r="E73" s="8" t="s">
        <v>280</v>
      </c>
    </row>
    <row r="74" ht="15.75" customHeight="1">
      <c r="A74" s="8" t="s">
        <v>119</v>
      </c>
      <c r="B74" s="8" t="s">
        <v>134</v>
      </c>
      <c r="C74" s="8" t="s">
        <v>154</v>
      </c>
      <c r="D74" s="8" t="s">
        <v>42</v>
      </c>
      <c r="E74" s="8" t="s">
        <v>281</v>
      </c>
    </row>
    <row r="75" ht="15.75" customHeight="1">
      <c r="A75" s="8" t="s">
        <v>119</v>
      </c>
      <c r="B75" s="8" t="s">
        <v>134</v>
      </c>
      <c r="C75" s="8" t="s">
        <v>155</v>
      </c>
      <c r="D75" s="8" t="s">
        <v>42</v>
      </c>
      <c r="E75" s="8" t="s">
        <v>282</v>
      </c>
    </row>
    <row r="76" ht="15.75" customHeight="1">
      <c r="A76" s="8" t="s">
        <v>119</v>
      </c>
      <c r="B76" s="8" t="s">
        <v>134</v>
      </c>
      <c r="C76" s="8" t="s">
        <v>156</v>
      </c>
      <c r="D76" s="8" t="s">
        <v>267</v>
      </c>
      <c r="E76" s="8" t="s">
        <v>283</v>
      </c>
    </row>
    <row r="77" ht="15.75" customHeight="1">
      <c r="A77" s="8" t="s">
        <v>119</v>
      </c>
      <c r="B77" s="8" t="s">
        <v>134</v>
      </c>
      <c r="C77" s="8" t="s">
        <v>157</v>
      </c>
      <c r="D77" s="8" t="s">
        <v>267</v>
      </c>
      <c r="E77" s="8" t="s">
        <v>284</v>
      </c>
    </row>
    <row r="78" ht="15.75" customHeight="1">
      <c r="A78" s="11" t="s">
        <v>119</v>
      </c>
      <c r="B78" s="11" t="s">
        <v>134</v>
      </c>
      <c r="C78" s="11" t="s">
        <v>159</v>
      </c>
      <c r="D78" s="11" t="s">
        <v>285</v>
      </c>
      <c r="E78" s="11" t="s">
        <v>139</v>
      </c>
      <c r="G78" s="7" t="s">
        <v>22</v>
      </c>
    </row>
    <row r="79" ht="15.75" customHeight="1">
      <c r="A79" s="8" t="s">
        <v>119</v>
      </c>
      <c r="B79" s="8" t="s">
        <v>134</v>
      </c>
      <c r="C79" s="8" t="s">
        <v>160</v>
      </c>
      <c r="D79" s="8" t="s">
        <v>285</v>
      </c>
      <c r="E79" s="8" t="s">
        <v>286</v>
      </c>
    </row>
    <row r="80" ht="15.75" customHeight="1">
      <c r="A80" s="8" t="s">
        <v>119</v>
      </c>
      <c r="B80" s="8" t="s">
        <v>134</v>
      </c>
      <c r="C80" s="8" t="s">
        <v>161</v>
      </c>
      <c r="D80" s="8" t="s">
        <v>42</v>
      </c>
      <c r="E80" s="8" t="s">
        <v>287</v>
      </c>
    </row>
    <row r="81" ht="15.75" customHeight="1">
      <c r="A81" s="8" t="s">
        <v>119</v>
      </c>
      <c r="B81" s="8" t="s">
        <v>134</v>
      </c>
      <c r="C81" s="8" t="s">
        <v>163</v>
      </c>
      <c r="D81" s="8" t="s">
        <v>42</v>
      </c>
      <c r="E81" s="8" t="s">
        <v>288</v>
      </c>
    </row>
    <row r="82" ht="15.75" customHeight="1">
      <c r="A82" s="8" t="s">
        <v>119</v>
      </c>
      <c r="B82" s="8" t="s">
        <v>134</v>
      </c>
      <c r="C82" s="8" t="s">
        <v>164</v>
      </c>
      <c r="D82" s="8" t="s">
        <v>285</v>
      </c>
      <c r="E82" s="8" t="s">
        <v>289</v>
      </c>
    </row>
    <row r="83" ht="15.75" customHeight="1">
      <c r="A83" s="8" t="s">
        <v>119</v>
      </c>
      <c r="B83" s="8" t="s">
        <v>134</v>
      </c>
      <c r="C83" s="8" t="s">
        <v>137</v>
      </c>
      <c r="D83" s="8" t="s">
        <v>290</v>
      </c>
      <c r="E83" s="8" t="s">
        <v>291</v>
      </c>
    </row>
    <row r="84" ht="15.75" customHeight="1">
      <c r="A84" s="8" t="s">
        <v>167</v>
      </c>
      <c r="C84" s="8" t="s">
        <v>169</v>
      </c>
      <c r="D84" s="8" t="s">
        <v>292</v>
      </c>
      <c r="E84" s="8" t="s">
        <v>293</v>
      </c>
    </row>
    <row r="85" ht="15.75" customHeight="1">
      <c r="A85" s="8" t="s">
        <v>167</v>
      </c>
      <c r="C85" s="8" t="s">
        <v>170</v>
      </c>
      <c r="D85" s="8" t="s">
        <v>292</v>
      </c>
      <c r="E85" s="8" t="s">
        <v>294</v>
      </c>
    </row>
    <row r="86" ht="15.75" customHeight="1">
      <c r="A86" s="8" t="s">
        <v>167</v>
      </c>
      <c r="C86" s="8" t="s">
        <v>173</v>
      </c>
      <c r="D86" s="8" t="s">
        <v>292</v>
      </c>
      <c r="E86" s="8" t="s">
        <v>295</v>
      </c>
    </row>
    <row r="87" ht="15.75" customHeight="1">
      <c r="A87" s="8" t="s">
        <v>167</v>
      </c>
      <c r="C87" s="8" t="s">
        <v>174</v>
      </c>
      <c r="D87" s="8" t="s">
        <v>292</v>
      </c>
      <c r="E87" s="8" t="s">
        <v>296</v>
      </c>
    </row>
    <row r="88" ht="15.75" customHeight="1">
      <c r="A88" s="8" t="s">
        <v>167</v>
      </c>
      <c r="C88" s="8" t="s">
        <v>175</v>
      </c>
      <c r="D88" s="8" t="s">
        <v>292</v>
      </c>
      <c r="E88" s="8" t="s">
        <v>297</v>
      </c>
    </row>
    <row r="89" ht="15.75" customHeight="1">
      <c r="A89" s="8" t="s">
        <v>167</v>
      </c>
      <c r="C89" s="8" t="s">
        <v>176</v>
      </c>
      <c r="D89" s="8" t="s">
        <v>292</v>
      </c>
      <c r="E89" s="8" t="s">
        <v>298</v>
      </c>
    </row>
    <row r="90" ht="15.75" customHeight="1">
      <c r="A90" s="8" t="s">
        <v>167</v>
      </c>
      <c r="C90" s="8" t="s">
        <v>172</v>
      </c>
      <c r="D90" s="8" t="s">
        <v>292</v>
      </c>
      <c r="E90" s="8" t="s">
        <v>299</v>
      </c>
    </row>
    <row r="91" ht="15.75" customHeight="1">
      <c r="A91" s="8" t="s">
        <v>167</v>
      </c>
      <c r="C91" s="8" t="s">
        <v>177</v>
      </c>
      <c r="D91" s="8" t="s">
        <v>292</v>
      </c>
      <c r="E91" s="8" t="s">
        <v>300</v>
      </c>
    </row>
    <row r="92" ht="15.75" customHeight="1">
      <c r="A92" s="8" t="s">
        <v>167</v>
      </c>
      <c r="C92" s="8" t="s">
        <v>178</v>
      </c>
      <c r="D92" s="8" t="s">
        <v>292</v>
      </c>
      <c r="E92" s="8" t="s">
        <v>301</v>
      </c>
    </row>
    <row r="93" ht="15.75" customHeight="1">
      <c r="A93" s="8" t="s">
        <v>167</v>
      </c>
      <c r="C93" s="8" t="s">
        <v>180</v>
      </c>
      <c r="D93" s="8" t="s">
        <v>292</v>
      </c>
      <c r="E93" s="8" t="s">
        <v>302</v>
      </c>
    </row>
    <row r="94" ht="15.75" customHeight="1">
      <c r="A94" s="8" t="s">
        <v>183</v>
      </c>
      <c r="B94" s="8" t="s">
        <v>184</v>
      </c>
      <c r="C94" s="8" t="s">
        <v>185</v>
      </c>
      <c r="D94" s="8" t="s">
        <v>232</v>
      </c>
      <c r="E94" s="8" t="s">
        <v>303</v>
      </c>
    </row>
    <row r="95" ht="15.75" customHeight="1">
      <c r="A95" s="8" t="s">
        <v>183</v>
      </c>
      <c r="B95" s="8" t="s">
        <v>184</v>
      </c>
      <c r="C95" s="8" t="s">
        <v>186</v>
      </c>
      <c r="D95" s="8" t="s">
        <v>232</v>
      </c>
      <c r="E95" s="8" t="s">
        <v>304</v>
      </c>
    </row>
    <row r="96" ht="15.75" customHeight="1">
      <c r="A96" s="8" t="s">
        <v>183</v>
      </c>
      <c r="B96" s="8" t="s">
        <v>188</v>
      </c>
      <c r="C96" s="8" t="s">
        <v>189</v>
      </c>
      <c r="D96" s="8" t="s">
        <v>232</v>
      </c>
      <c r="E96" s="8" t="s">
        <v>305</v>
      </c>
    </row>
    <row r="97" ht="15.75" customHeight="1">
      <c r="A97" s="8" t="s">
        <v>183</v>
      </c>
      <c r="B97" s="8" t="s">
        <v>188</v>
      </c>
      <c r="C97" s="8" t="s">
        <v>190</v>
      </c>
      <c r="D97" s="8" t="s">
        <v>232</v>
      </c>
      <c r="E97" s="8" t="s">
        <v>306</v>
      </c>
    </row>
    <row r="98" ht="15.75" customHeight="1">
      <c r="A98" s="8" t="s">
        <v>183</v>
      </c>
      <c r="B98" s="8" t="s">
        <v>188</v>
      </c>
      <c r="C98" s="8" t="s">
        <v>192</v>
      </c>
      <c r="D98" s="8" t="s">
        <v>232</v>
      </c>
      <c r="E98" s="8" t="s">
        <v>307</v>
      </c>
    </row>
    <row r="99" ht="15.75" customHeight="1">
      <c r="A99" s="8" t="s">
        <v>183</v>
      </c>
      <c r="B99" s="8" t="s">
        <v>188</v>
      </c>
      <c r="C99" s="8" t="s">
        <v>194</v>
      </c>
      <c r="D99" s="8" t="s">
        <v>232</v>
      </c>
      <c r="E99" s="8" t="s">
        <v>308</v>
      </c>
    </row>
    <row r="100" ht="15.75" customHeight="1">
      <c r="A100" s="8" t="s">
        <v>183</v>
      </c>
      <c r="B100" s="8" t="s">
        <v>13</v>
      </c>
      <c r="C100" s="8" t="s">
        <v>196</v>
      </c>
      <c r="D100" s="8" t="s">
        <v>232</v>
      </c>
      <c r="E100" s="8" t="s">
        <v>309</v>
      </c>
    </row>
    <row r="101" ht="15.75" customHeight="1">
      <c r="A101" s="8" t="s">
        <v>183</v>
      </c>
      <c r="B101" s="8" t="s">
        <v>13</v>
      </c>
      <c r="C101" s="8" t="s">
        <v>197</v>
      </c>
      <c r="D101" s="8" t="s">
        <v>232</v>
      </c>
      <c r="E101" s="8" t="s">
        <v>310</v>
      </c>
    </row>
    <row r="102" ht="15.75" customHeight="1">
      <c r="A102" s="8" t="s">
        <v>183</v>
      </c>
      <c r="B102" s="8" t="s">
        <v>198</v>
      </c>
      <c r="C102" s="8" t="s">
        <v>199</v>
      </c>
      <c r="D102" s="8" t="s">
        <v>232</v>
      </c>
      <c r="E102" s="8" t="s">
        <v>311</v>
      </c>
    </row>
    <row r="103" ht="15.75" customHeight="1">
      <c r="A103" s="8" t="s">
        <v>183</v>
      </c>
      <c r="B103" s="8" t="s">
        <v>198</v>
      </c>
      <c r="C103" s="8" t="s">
        <v>201</v>
      </c>
      <c r="D103" s="8" t="s">
        <v>232</v>
      </c>
      <c r="E103" s="8" t="s">
        <v>312</v>
      </c>
    </row>
    <row r="104" ht="15.75" customHeight="1">
      <c r="A104" s="8" t="s">
        <v>183</v>
      </c>
      <c r="B104" s="8" t="s">
        <v>198</v>
      </c>
      <c r="C104" s="8" t="s">
        <v>202</v>
      </c>
      <c r="D104" s="8" t="s">
        <v>232</v>
      </c>
      <c r="E104" s="8" t="s">
        <v>313</v>
      </c>
    </row>
    <row r="105" ht="15.75" customHeight="1">
      <c r="A105" s="8" t="s">
        <v>183</v>
      </c>
      <c r="B105" s="8" t="s">
        <v>198</v>
      </c>
      <c r="C105" s="8" t="s">
        <v>203</v>
      </c>
      <c r="D105" s="8" t="s">
        <v>232</v>
      </c>
      <c r="E105" s="8" t="s">
        <v>314</v>
      </c>
    </row>
    <row r="106" ht="15.75" customHeight="1">
      <c r="A106" s="8" t="s">
        <v>183</v>
      </c>
      <c r="B106" s="8" t="s">
        <v>198</v>
      </c>
      <c r="C106" s="8" t="s">
        <v>204</v>
      </c>
      <c r="D106" s="8" t="s">
        <v>232</v>
      </c>
      <c r="E106" s="8" t="s">
        <v>315</v>
      </c>
    </row>
    <row r="107" ht="15.75" customHeight="1">
      <c r="A107" s="8" t="s">
        <v>183</v>
      </c>
      <c r="B107" s="8" t="s">
        <v>198</v>
      </c>
      <c r="C107" s="8" t="s">
        <v>205</v>
      </c>
      <c r="D107" s="8" t="s">
        <v>232</v>
      </c>
      <c r="E107" s="8" t="s">
        <v>316</v>
      </c>
    </row>
    <row r="108" ht="15.75" customHeight="1">
      <c r="A108" s="8" t="s">
        <v>183</v>
      </c>
      <c r="B108" s="8" t="s">
        <v>198</v>
      </c>
      <c r="C108" s="8" t="s">
        <v>206</v>
      </c>
      <c r="D108" s="8" t="s">
        <v>232</v>
      </c>
      <c r="E108" s="8" t="s">
        <v>317</v>
      </c>
    </row>
    <row r="109" ht="15.75" customHeight="1">
      <c r="A109" s="8" t="s">
        <v>183</v>
      </c>
      <c r="B109" s="8" t="s">
        <v>198</v>
      </c>
      <c r="C109" s="8" t="s">
        <v>208</v>
      </c>
      <c r="D109" s="8" t="s">
        <v>232</v>
      </c>
      <c r="E109" s="8" t="s">
        <v>318</v>
      </c>
    </row>
    <row r="110" ht="15.75" customHeight="1">
      <c r="A110" s="8" t="s">
        <v>212</v>
      </c>
      <c r="C110" s="8" t="s">
        <v>213</v>
      </c>
      <c r="D110" s="8" t="s">
        <v>319</v>
      </c>
      <c r="E110" s="8" t="s">
        <v>320</v>
      </c>
    </row>
    <row r="111" ht="15.75" customHeight="1">
      <c r="A111" s="8" t="s">
        <v>212</v>
      </c>
      <c r="C111" s="8" t="s">
        <v>214</v>
      </c>
      <c r="D111" s="8" t="s">
        <v>321</v>
      </c>
      <c r="E111" s="8" t="s">
        <v>322</v>
      </c>
    </row>
    <row r="112" ht="15.75" customHeight="1">
      <c r="A112" s="8" t="s">
        <v>212</v>
      </c>
      <c r="C112" s="8" t="s">
        <v>215</v>
      </c>
      <c r="D112" s="8" t="s">
        <v>228</v>
      </c>
      <c r="E112" s="8" t="s">
        <v>323</v>
      </c>
    </row>
    <row r="113" ht="15.75" customHeight="1">
      <c r="A113" s="8" t="s">
        <v>212</v>
      </c>
      <c r="C113" s="8" t="s">
        <v>216</v>
      </c>
      <c r="D113" s="8" t="s">
        <v>324</v>
      </c>
      <c r="E113" s="8" t="s">
        <v>325</v>
      </c>
    </row>
    <row r="114" ht="15.75" customHeight="1">
      <c r="A114" s="8" t="s">
        <v>212</v>
      </c>
      <c r="C114" s="8" t="s">
        <v>217</v>
      </c>
      <c r="D114" s="8" t="s">
        <v>324</v>
      </c>
      <c r="E114" s="8" t="s">
        <v>326</v>
      </c>
    </row>
    <row r="115" ht="15.75" customHeight="1">
      <c r="A115" s="16" t="s">
        <v>212</v>
      </c>
      <c r="B115" s="16"/>
      <c r="C115" s="16" t="s">
        <v>218</v>
      </c>
      <c r="D115" s="16" t="s">
        <v>327</v>
      </c>
      <c r="E115" s="16" t="s">
        <v>328</v>
      </c>
      <c r="G115" s="7" t="s">
        <v>329</v>
      </c>
    </row>
    <row r="116" ht="15.75" customHeight="1">
      <c r="A116" s="11" t="s">
        <v>97</v>
      </c>
      <c r="B116" s="11" t="s">
        <v>98</v>
      </c>
      <c r="C116" s="11" t="s">
        <v>99</v>
      </c>
      <c r="D116" s="11" t="s">
        <v>290</v>
      </c>
      <c r="E116" s="11" t="s">
        <v>150</v>
      </c>
      <c r="G116" s="7" t="s">
        <v>22</v>
      </c>
    </row>
    <row r="117" ht="15.75" customHeight="1">
      <c r="A117" s="11" t="s">
        <v>97</v>
      </c>
      <c r="B117" s="11" t="s">
        <v>98</v>
      </c>
      <c r="C117" s="11" t="s">
        <v>100</v>
      </c>
      <c r="D117" s="11" t="s">
        <v>290</v>
      </c>
      <c r="E117" s="11" t="s">
        <v>162</v>
      </c>
      <c r="G117" s="7" t="s">
        <v>22</v>
      </c>
    </row>
    <row r="118" ht="15.75" customHeight="1">
      <c r="A118" s="11" t="s">
        <v>97</v>
      </c>
      <c r="B118" s="11" t="s">
        <v>98</v>
      </c>
      <c r="C118" s="11" t="s">
        <v>101</v>
      </c>
      <c r="D118" s="11" t="s">
        <v>290</v>
      </c>
      <c r="E118" s="11" t="s">
        <v>171</v>
      </c>
      <c r="G118" s="7" t="s">
        <v>22</v>
      </c>
    </row>
    <row r="119" ht="15.75" customHeight="1">
      <c r="A119" s="11" t="s">
        <v>97</v>
      </c>
      <c r="B119" s="11" t="s">
        <v>98</v>
      </c>
      <c r="C119" s="11" t="s">
        <v>103</v>
      </c>
      <c r="D119" s="11" t="s">
        <v>290</v>
      </c>
      <c r="E119" s="11" t="s">
        <v>181</v>
      </c>
      <c r="G119" s="7" t="s">
        <v>22</v>
      </c>
    </row>
    <row r="120" ht="15.75" customHeight="1">
      <c r="A120" s="11" t="s">
        <v>97</v>
      </c>
      <c r="B120" s="11" t="s">
        <v>98</v>
      </c>
      <c r="C120" s="11" t="s">
        <v>104</v>
      </c>
      <c r="D120" s="11" t="s">
        <v>290</v>
      </c>
      <c r="E120" s="11" t="s">
        <v>193</v>
      </c>
      <c r="G120" s="7" t="s">
        <v>22</v>
      </c>
    </row>
    <row r="121" ht="15.75" customHeight="1"/>
    <row r="122" ht="15.75" customHeight="1">
      <c r="G122" s="7">
        <f>countif((G2:G120), "x")</f>
        <v>15</v>
      </c>
    </row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J18:L22"/>
  </mergeCells>
  <printOptions/>
  <pageMargins bottom="1.0" footer="0.0" header="0.0" left="0.75" right="0.75" top="1.0"/>
  <pageSetup orientation="landscape"/>
  <drawing r:id="rId2"/>
  <legacyDrawing r:id="rId3"/>
  <tableParts count="2">
    <tablePart r:id="rId6"/>
    <tablePart r:id="rId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3" max="3" width="47.29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</sheetData>
  <drawing r:id="rId2"/>
</worksheet>
</file>